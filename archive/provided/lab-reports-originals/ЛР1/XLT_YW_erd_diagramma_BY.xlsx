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D69190ED-26F9-45D5-A12C-69E92EFEF5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8" i="3" l="1"/>
  <c r="G52" i="3"/>
  <c r="G54" i="3"/>
  <c r="G60" i="3"/>
  <c r="G53" i="3"/>
  <c r="G37" i="3"/>
  <c r="N37" i="3" s="1"/>
  <c r="G33" i="3"/>
  <c r="N33" i="3" s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6" i="3"/>
  <c r="N35" i="3"/>
  <c r="N34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H25" i="3"/>
  <c r="N25" i="3"/>
  <c r="N28" i="3"/>
  <c r="H28" i="3"/>
  <c r="H27" i="3"/>
  <c r="N27" i="3"/>
  <c r="H23" i="3"/>
  <c r="N23" i="3"/>
  <c r="N24" i="3"/>
  <c r="H24" i="3"/>
  <c r="N21" i="3"/>
  <c r="H21" i="3"/>
  <c r="H22" i="3"/>
  <c r="N22" i="3"/>
  <c r="N16" i="3"/>
  <c r="H16" i="3"/>
  <c r="N20" i="3"/>
  <c r="H20" i="3"/>
  <c r="N17" i="3"/>
  <c r="H17" i="3"/>
  <c r="B26" i="6"/>
  <c r="B28" i="6"/>
  <c r="H19" i="3"/>
  <c r="N19" i="3"/>
  <c r="N18" i="3"/>
  <c r="H18" i="3"/>
  <c r="B27" i="6"/>
  <c r="N15" i="3"/>
  <c r="H15" i="3"/>
  <c r="N14" i="3"/>
  <c r="H14" i="3"/>
  <c r="N13" i="3"/>
  <c r="H13" i="3"/>
  <c r="N12" i="3"/>
  <c r="H12" i="3"/>
  <c r="B20" i="6"/>
  <c r="N11" i="3"/>
  <c r="H11" i="3"/>
  <c r="H10" i="3"/>
  <c r="N10" i="3"/>
  <c r="B19" i="6"/>
  <c r="B18" i="6"/>
  <c r="H9" i="3"/>
  <c r="N9" i="3"/>
  <c r="H8" i="3"/>
  <c r="N8" i="3"/>
  <c r="B17" i="6"/>
  <c r="H7" i="3"/>
  <c r="I7" i="3" s="1"/>
  <c r="N7" i="3"/>
  <c r="N6" i="3"/>
  <c r="H6" i="3"/>
  <c r="H29" i="3"/>
  <c r="I29" i="3" s="1"/>
  <c r="N29" i="3"/>
  <c r="N5" i="3"/>
  <c r="H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56" i="6"/>
  <c r="B62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11" i="4" l="1"/>
  <c r="C9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<sst xmlns="http://schemas.openxmlformats.org/spreadsheetml/2006/main" count="372" uniqueCount="226">
  <si>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</si>
  <si>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</si>
  <si>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</si>
  <si>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</si>
  <si>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</si>
  <si>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</si>
  <si>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</si>
  <si>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</si>
  <si>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</si>
  <si>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</si>
  <si>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</si>
  <si>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</si>
  <si>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</si>
  <si>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</si>
  <si>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</si>
  <si>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</si>
  <si>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</si>
  <si>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</si>
  <si>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</si>
  <si>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</si>
  <si>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</si>
  <si>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</si>
  <si>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</si>
  <si>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</si>
  <si>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</si>
  <si>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</si>
  <si>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</si>
  <si>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</si>
  <si>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</si>
  <si>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</si>
  <si>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</si>
  <si>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</si>
  <si>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</si>
  <si>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</si>
  <si>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</si>
  <si>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</si>
  <si>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</si>
  <si>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</si>
  <si>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</si>
  <si>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</si>
  <si>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</si>
  <si>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</si>
  <si>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</si>
  <si>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</si>
  <si>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</si>
  <si>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</si>
  <si>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</si>
  <si>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</si>
  <si>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</si>
  <si>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</si>
  <si>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</si>
  <si>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</si>
  <si>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</si>
  <si>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</si>
  <si>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</si>
  <si>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</si>
  <si>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</si>
  <si>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</si>
  <si>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</si>
  <si>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</si>
  <si>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</si>
  <si>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</si>
  <si>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</si>
  <si>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</si>
  <si>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</si>
  <si>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</si>
  <si>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</si>
  <si>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</si>
  <si>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</si>
  <si>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</si>
  <si>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</si>
  <si>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</si>
  <si>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</si>
  <si>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</si>
  <si>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</si>
  <si>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</si>
  <si>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</si>
  <si>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</si>
  <si>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</si>
  <si>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</si>
  <si>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</si>
  <si>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</si>
  <si>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</si>
  <si>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</si>
  <si>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</si>
  <si>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</si>
  <si>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</si>
  <si>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</si>
  <si>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</si>
  <si>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</si>
  <si>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</si>
  <si>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</si>
  <si>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</si>
  <si>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</si>
  <si>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</si>
  <si>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</si>
  <si>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</si>
  <si>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</si>
  <si>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</si>
  <si>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</si>
  <si>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</si>
  <si>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</si>
  <si>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</si>
  <si>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</si>
  <si>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</si>
  <si>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</si>
  <si>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</si>
  <si>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</si>
  <si>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</si>
  <si>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</si>
  <si>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</si>
  <si>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</si>
  <si>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</si>
  <si>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</si>
  <si>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</si>
  <si>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</si>
  <si>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</si>
  <si>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</si>
  <si>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</si>
  <si>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</si>
  <si>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</si>
  <si>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</si>
  <si>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</si>
  <si>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</si>
  <si>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</si>
  <si>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</si>
  <si>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</si>
  <si>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</si>
  <si>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</si>
  <si>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</si>
  <si>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</si>
  <si>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</si>
  <si>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</si>
  <si>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</si>
  <si>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</si>
  <si>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</si>
  <si>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</si>
  <si>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</si>
  <si>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</si>
  <si>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</si>
  <si>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</si>
  <si>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</si>
  <si>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</si>
  <si>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</si>
  <si>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</si>
  <si>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</si>
  <si>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</si>
  <si>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</si>
  <si>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</si>
  <si>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</si>
  <si>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</si>
  <si>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</si>
  <si>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</si>
  <si>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</si>
  <si>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</si>
  <si>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</si>
  <si>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</si>
  <si>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</si>
  <si>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</si>
  <si>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</si>
  <si>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</si>
  <si>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</si>
  <si>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</si>
  <si>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</si>
  <si>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</si>
  <si>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</si>
  <si>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</si>
  <si>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</si>
  <si>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</si>
  <si>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</si>
  <si>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</si>
  <si>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</si>
  <si>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</si>
  <si>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</si>
  <si>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</si>
  <si>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</si>
  <si>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</si>
  <si>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</si>
  <si>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</si>
  <si>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</si>
  <si>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</si>
  <si>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</si>
  <si>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</si>
  <si>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</si>
  <si>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</si>
  <si>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</si>
  <si>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</si>
  <si>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Частотность за 30 дней: 25;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</si>
  <si>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</si>
  <si>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</si>
  <si>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</si>
  <si>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</si>
  <si>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</si>
  <si>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</si>
  <si>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</si>
  <si>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</si>
  <si>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</si>
  <si>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</si>
  <si>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</si>
  <si>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</si>
  <si>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</si>
  <si>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</si>
  <si>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</si>
  <si>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</si>
  <si>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</si>
  <si>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</si>
  <si>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</si>
  <si>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</si>
  <si>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</si>
  <si>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</si>
  <si>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</si>
  <si>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</si>
  <si>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</si>
  <si>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</si>
  <si>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</si>
  <si>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</si>
  <si>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</si>
  <si>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</si>
  <si>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</si>
  <si>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</si>
  <si>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</si>
  <si>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</si>
  <si>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</si>
  <si>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</si>
  <si>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</si>
  <si>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Вариант только Яндекс Вордстат: запрос «erd диаграмма», Беларусь, 24 мес. (09.2024–08.2026); колонка Google Trends не заполнялась, так как по запросу в Беларуси нет недельных значений Google Trends в сопоставимом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</si>
</sst>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41.525423728813557</c:v>
                </c:pt>
                <c:pt idx="1">
                  <c:v>47.457627118644069</c:v>
                </c:pt>
                <c:pt idx="2">
                  <c:v>53.389830508474581</c:v>
                </c:pt>
                <c:pt idx="3">
                  <c:v>39.83050847457627</c:v>
                </c:pt>
                <c:pt idx="4">
                  <c:v>53.389830508474581</c:v>
                </c:pt>
                <c:pt idx="5">
                  <c:v>42.372881355932201</c:v>
                </c:pt>
                <c:pt idx="6">
                  <c:v>100</c:v>
                </c:pt>
                <c:pt idx="7">
                  <c:v>40.677966101694921</c:v>
                </c:pt>
                <c:pt idx="8">
                  <c:v>36.440677966101696</c:v>
                </c:pt>
                <c:pt idx="9">
                  <c:v>44.915254237288138</c:v>
                </c:pt>
                <c:pt idx="10">
                  <c:v>19.491525423728813</c:v>
                </c:pt>
                <c:pt idx="11">
                  <c:v>20.33898305084746</c:v>
                </c:pt>
                <c:pt idx="12">
                  <c:v>25.423728813559322</c:v>
                </c:pt>
                <c:pt idx="13">
                  <c:v>32.20338983050847</c:v>
                </c:pt>
                <c:pt idx="14">
                  <c:v>12.711864406779661</c:v>
                </c:pt>
                <c:pt idx="15">
                  <c:v>39.83050847457627</c:v>
                </c:pt>
                <c:pt idx="16">
                  <c:v>22.033898305084744</c:v>
                </c:pt>
                <c:pt idx="17">
                  <c:v>29.66101694915254</c:v>
                </c:pt>
                <c:pt idx="18">
                  <c:v>28.8135593220339</c:v>
                </c:pt>
                <c:pt idx="19">
                  <c:v>19.491525423728813</c:v>
                </c:pt>
                <c:pt idx="20">
                  <c:v>27.118644067796609</c:v>
                </c:pt>
                <c:pt idx="21">
                  <c:v>46.610169491525419</c:v>
                </c:pt>
                <c:pt idx="22">
                  <c:v>10.16949152542373</c:v>
                </c:pt>
                <c:pt idx="23">
                  <c:v>11.864406779661017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44.985875706214692</c:v>
                </c:pt>
                <c:pt idx="12">
                  <c:v>43.644067796610166</c:v>
                </c:pt>
                <c:pt idx="13">
                  <c:v>42.372881355932201</c:v>
                </c:pt>
                <c:pt idx="14">
                  <c:v>38.983050847457626</c:v>
                </c:pt>
                <c:pt idx="15">
                  <c:v>38.983050847457626</c:v>
                </c:pt>
                <c:pt idx="16">
                  <c:v>36.370056497175142</c:v>
                </c:pt>
                <c:pt idx="17">
                  <c:v>35.310734463276837</c:v>
                </c:pt>
                <c:pt idx="18">
                  <c:v>29.378531073446322</c:v>
                </c:pt>
                <c:pt idx="19">
                  <c:v>27.612994350282481</c:v>
                </c:pt>
                <c:pt idx="20">
                  <c:v>26.836158192090394</c:v>
                </c:pt>
                <c:pt idx="21">
                  <c:v>26.977401129943502</c:v>
                </c:pt>
                <c:pt idx="22">
                  <c:v>26.200564971751408</c:v>
                </c:pt>
                <c:pt idx="23">
                  <c:v>25.494350282485872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0.77273718337214559</c:v>
                </c:pt>
                <c:pt idx="1">
                  <c:v>1.0714298254063788</c:v>
                </c:pt>
                <c:pt idx="2">
                  <c:v>1.250982625817888</c:v>
                </c:pt>
                <c:pt idx="3">
                  <c:v>0.90036119782048674</c:v>
                </c:pt>
                <c:pt idx="4">
                  <c:v>1.2889381358272229</c:v>
                </c:pt>
                <c:pt idx="5">
                  <c:v>2.2037636648223948</c:v>
                </c:pt>
                <c:pt idx="6">
                  <c:v>0.49507731632177709</c:v>
                </c:pt>
                <c:pt idx="7">
                  <c:v>0.58513669916844568</c:v>
                </c:pt>
                <c:pt idx="8">
                  <c:v>0.74301652247321714</c:v>
                </c:pt>
                <c:pt idx="9">
                  <c:v>0.96938888965339043</c:v>
                </c:pt>
                <c:pt idx="10">
                  <c:v>0.4159277272540291</c:v>
                </c:pt>
                <c:pt idx="11">
                  <c:v>1.3032402120626247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9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 t="s">
        <v>197</v>
      </c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-0.43328100470957626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июнь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ноябрь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0.79532519816342528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 t="s">
        <v>25</v>
      </c>
      <c r="B16" s="12"/>
      <c r="C16" s="12"/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3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июнь, минимум – ноябрь. Текущая фаза спроса: ниже тренда.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3"/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2" customWidth="1"/>
    <col min="7" max="26" width="9.625" customWidth="1"/>
  </cols>
  <sheetData>
    <row r="1" spans="1:26" ht="18.75">
      <c r="A1" s="10" t="s">
        <v>26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198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163</v>
      </c>
      <c r="C5" s="6"/>
      <c r="D5" s="6">
        <v>49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163</v>
      </c>
      <c r="C6" s="6"/>
      <c r="D6" s="6">
        <v>56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163</v>
      </c>
      <c r="C7" s="6"/>
      <c r="D7" s="6">
        <v>63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163</v>
      </c>
      <c r="C8" s="6"/>
      <c r="D8" s="6">
        <v>47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163</v>
      </c>
      <c r="C9" s="6"/>
      <c r="D9" s="6">
        <v>63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163</v>
      </c>
      <c r="C10" s="6"/>
      <c r="D10" s="6">
        <v>50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163</v>
      </c>
      <c r="C11" s="6"/>
      <c r="D11" s="6">
        <v>118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163</v>
      </c>
      <c r="C12" s="6"/>
      <c r="D12" s="6">
        <v>48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163</v>
      </c>
      <c r="C13" s="6"/>
      <c r="D13" s="6">
        <v>43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163</v>
      </c>
      <c r="C14" s="6"/>
      <c r="D14" s="6">
        <v>53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163</v>
      </c>
      <c r="C15" s="6"/>
      <c r="D15" s="6">
        <v>23</v>
      </c>
      <c r="E15" s="2" t="s">
        <v>108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163</v>
      </c>
      <c r="C16" s="6"/>
      <c r="D16" s="6">
        <v>24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163</v>
      </c>
      <c r="C17" s="6"/>
      <c r="D17" s="6">
        <v>30</v>
      </c>
      <c r="E17" s="2" t="s">
        <v>108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163</v>
      </c>
      <c r="C18" s="6"/>
      <c r="D18" s="6">
        <v>38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163</v>
      </c>
      <c r="C19" s="6"/>
      <c r="D19" s="6">
        <v>15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163</v>
      </c>
      <c r="C20" s="6"/>
      <c r="D20" s="6">
        <v>47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163</v>
      </c>
      <c r="C21" s="6"/>
      <c r="D21" s="6">
        <v>26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163</v>
      </c>
      <c r="C22" s="6"/>
      <c r="D22" s="6">
        <v>35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163</v>
      </c>
      <c r="C23" s="6"/>
      <c r="D23" s="6">
        <v>34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163</v>
      </c>
      <c r="C24" s="6"/>
      <c r="D24" s="6">
        <v>23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163</v>
      </c>
      <c r="C25" s="6"/>
      <c r="D25" s="6">
        <v>32</v>
      </c>
      <c r="E25" s="2" t="s">
        <v>108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163</v>
      </c>
      <c r="C26" s="6"/>
      <c r="D26" s="6">
        <v>55</v>
      </c>
      <c r="E26" s="2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163</v>
      </c>
      <c r="C27" s="6"/>
      <c r="D27" s="6">
        <v>12</v>
      </c>
      <c r="E27" s="2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163</v>
      </c>
      <c r="C28" s="6"/>
      <c r="D28" s="6">
        <v>14</v>
      </c>
      <c r="E28" s="2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49</v>
      </c>
      <c r="F5" s="4">
        <f t="shared" ref="F5:F36" si="2">IF(E5="","",IF(MAX($E$5:$E$64)=0,"",E5/MAX($E$5:$E$64)*100))</f>
        <v>41.525423728813557</v>
      </c>
      <c r="G5" s="4">
        <f>IF(COUNT(D5,F5)=0,"",IF(COUNT(D5,F5)=2,D5*Настройки!$B$4+F5*Настройки!$B$5,IF(D5&lt;&gt;"",D5,F5)))</f>
        <v>41.525423728813557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55.887618206108449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56</v>
      </c>
      <c r="F6" s="4">
        <f t="shared" si="2"/>
        <v>47.457627118644069</v>
      </c>
      <c r="G6" s="4">
        <f>IF(COUNT(D6,F6)=0,"",IF(COUNT(D6,F6)=2,D6*Настройки!$B$4+F6*Настройки!$B$5,IF(D6&lt;&gt;"",D6,F6)))</f>
        <v>47.457627118644069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48.956231730294299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63</v>
      </c>
      <c r="F7" s="4">
        <f t="shared" si="2"/>
        <v>53.389830508474581</v>
      </c>
      <c r="G7" s="4">
        <f>IF(COUNT(D7,F7)=0,"",IF(COUNT(D7,F7)=2,D7*Настройки!$B$4+F7*Настройки!$B$5,IF(D7&lt;&gt;"",D7,F7)))</f>
        <v>53.389830508474581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128.36323959683165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47</v>
      </c>
      <c r="F8" s="4">
        <f t="shared" si="2"/>
        <v>39.83050847457627</v>
      </c>
      <c r="G8" s="4">
        <f>IF(COUNT(D8,F8)=0,"",IF(COUNT(D8,F8)=2,D8*Настройки!$B$4+F8*Настройки!$B$5,IF(D8&lt;&gt;"",D8,F8)))</f>
        <v>39.83050847457627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30.562676094483717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63</v>
      </c>
      <c r="F9" s="4">
        <f t="shared" si="2"/>
        <v>53.389830508474581</v>
      </c>
      <c r="G9" s="4">
        <f>IF(COUNT(D9,F9)=0,"",IF(COUNT(D9,F9)=2,D9*Настройки!$B$4+F9*Настройки!$B$5,IF(D9&lt;&gt;"",D9,F9)))</f>
        <v>53.389830508474581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69.091835694364875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50</v>
      </c>
      <c r="F10" s="4">
        <f t="shared" si="2"/>
        <v>42.372881355932201</v>
      </c>
      <c r="G10" s="4">
        <f>IF(COUNT(D10,F10)=0,"",IF(COUNT(D10,F10)=2,D10*Настройки!$B$4+F10*Настройки!$B$5,IF(D10&lt;&gt;"",D10,F10)))</f>
        <v>42.372881355932201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39.547976312737738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118</v>
      </c>
      <c r="F11" s="4">
        <f t="shared" si="2"/>
        <v>100</v>
      </c>
      <c r="G11" s="4">
        <f>IF(COUNT(D11,F11)=0,"",IF(COUNT(D11,F11)=2,D11*Настройки!$B$4+F11*Настройки!$B$5,IF(D11&lt;&gt;"",D11,F11)))</f>
        <v>100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79.937161345162849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48</v>
      </c>
      <c r="F12" s="4">
        <f t="shared" si="2"/>
        <v>40.677966101694921</v>
      </c>
      <c r="G12" s="4">
        <f>IF(COUNT(D12,F12)=0,"",IF(COUNT(D12,F12)=2,D12*Настройки!$B$4+F12*Настройки!$B$5,IF(D12&lt;&gt;"",D12,F12)))</f>
        <v>40.677966101694921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45.179608139671586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43</v>
      </c>
      <c r="F13" s="4">
        <f t="shared" si="2"/>
        <v>36.440677966101696</v>
      </c>
      <c r="G13" s="4">
        <f>IF(COUNT(D13,F13)=0,"",IF(COUNT(D13,F13)=2,D13*Настройки!$B$4+F13*Настройки!$B$5,IF(D13&lt;&gt;"",D13,F13)))</f>
        <v>36.440677966101696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28.271859566568388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53</v>
      </c>
      <c r="F14" s="4">
        <f t="shared" si="2"/>
        <v>44.915254237288138</v>
      </c>
      <c r="G14" s="4">
        <f>IF(COUNT(D14,F14)=0,"",IF(COUNT(D14,F14)=2,D14*Настройки!$B$4+F14*Настройки!$B$5,IF(D14&lt;&gt;"",D14,F14)))</f>
        <v>44.915254237288138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20.381157450886612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23</v>
      </c>
      <c r="F15" s="4">
        <f t="shared" si="2"/>
        <v>19.491525423728813</v>
      </c>
      <c r="G15" s="4">
        <f>IF(COUNT(D15,F15)=0,"",IF(COUNT(D15,F15)=2,D15*Настройки!$B$4+F15*Настройки!$B$5,IF(D15&lt;&gt;"",D15,F15)))</f>
        <v>19.491525423728813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39.37066955226895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24</v>
      </c>
      <c r="F16" s="4">
        <f t="shared" si="2"/>
        <v>20.33898305084746</v>
      </c>
      <c r="G16" s="4">
        <f>IF(COUNT(D16,F16)=0,"",IF(COUNT(D16,F16)=2,D16*Настройки!$B$4+F16*Настройки!$B$5,IF(D16&lt;&gt;"",D16,F16)))</f>
        <v>20.33898305084746</v>
      </c>
      <c r="H16" s="4">
        <f>IF(OR(G16="",COUNT($G$5:G16)&lt;12),"",AVERAGE(G5:G16))</f>
        <v>44.985875706214692</v>
      </c>
      <c r="I16" s="4">
        <f t="shared" si="3"/>
        <v>0.45211930926216642</v>
      </c>
      <c r="J16" s="4">
        <f>IF(OR(G16="",IFERROR(VLOOKUP(B16,Сезонность!$A$4:$D$15,4,FALSE),0)=0),"",G16/IFERROR(VLOOKUP(B16,Сезонность!$A$4:$D$15,4,FALSE),1))</f>
        <v>34.759370040798608</v>
      </c>
      <c r="K16" s="4">
        <f>IF(OR(G16="",H16="",H16=0,IFERROR(VLOOKUP(B16,Сезонность!$A$4:$D$15,4,FALSE),0)=0),"",G16/(H16*IFERROR(VLOOKUP(B16,Сезонность!$A$4:$D$15,4,FALSE),1)))</f>
        <v>0.77267296668400043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30</v>
      </c>
      <c r="F17" s="4">
        <f t="shared" si="2"/>
        <v>25.423728813559322</v>
      </c>
      <c r="G17" s="4">
        <f>IF(COUNT(D17,F17)=0,"",IF(COUNT(D17,F17)=2,D17*Настройки!$B$4+F17*Настройки!$B$5,IF(D17&lt;&gt;"",D17,F17)))</f>
        <v>25.423728813559322</v>
      </c>
      <c r="H17" s="4">
        <f>IF(OR(G17="",COUNT($G$5:G17)&lt;12),"",AVERAGE(G6:G17))</f>
        <v>43.644067796610166</v>
      </c>
      <c r="I17" s="4">
        <f t="shared" si="3"/>
        <v>0.58252427184466027</v>
      </c>
      <c r="J17" s="4">
        <f>IF(OR(G17="",IFERROR(VLOOKUP(B17,Сезонность!$A$4:$D$15,4,FALSE),0)=0),"",G17/IFERROR(VLOOKUP(B17,Сезонность!$A$4:$D$15,4,FALSE),1))</f>
        <v>34.216909105780687</v>
      </c>
      <c r="K17" s="4">
        <f>IF(OR(G17="",H17="",H17=0,IFERROR(VLOOKUP(B17,Сезонность!$A$4:$D$15,4,FALSE),0)=0),"",G17/(H17*IFERROR(VLOOKUP(B17,Сезонность!$A$4:$D$15,4,FALSE),1)))</f>
        <v>0.78399908242371286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38</v>
      </c>
      <c r="F18" s="4">
        <f t="shared" si="2"/>
        <v>32.20338983050847</v>
      </c>
      <c r="G18" s="4">
        <f>IF(COUNT(D18,F18)=0,"",IF(COUNT(D18,F18)=2,D18*Настройки!$B$4+F18*Настройки!$B$5,IF(D18&lt;&gt;"",D18,F18)))</f>
        <v>32.20338983050847</v>
      </c>
      <c r="H18" s="4">
        <f>IF(OR(G18="",COUNT($G$5:G18)&lt;12),"",AVERAGE(G7:G18))</f>
        <v>42.372881355932201</v>
      </c>
      <c r="I18" s="4">
        <f t="shared" si="3"/>
        <v>0.7599999999999999</v>
      </c>
      <c r="J18" s="4">
        <f>IF(OR(G18="",IFERROR(VLOOKUP(B18,Сезонность!$A$4:$D$15,4,FALSE),0)=0),"",G18/IFERROR(VLOOKUP(B18,Сезонность!$A$4:$D$15,4,FALSE),1))</f>
        <v>33.220300102699696</v>
      </c>
      <c r="K18" s="4">
        <f>IF(OR(G18="",H18="",H18=0,IFERROR(VLOOKUP(B18,Сезонность!$A$4:$D$15,4,FALSE),0)=0),"",G18/(H18*IFERROR(VLOOKUP(B18,Сезонность!$A$4:$D$15,4,FALSE),1)))</f>
        <v>0.78399908242371286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15</v>
      </c>
      <c r="F19" s="4">
        <f t="shared" si="2"/>
        <v>12.711864406779661</v>
      </c>
      <c r="G19" s="4">
        <f>IF(COUNT(D19,F19)=0,"",IF(COUNT(D19,F19)=2,D19*Настройки!$B$4+F19*Настройки!$B$5,IF(D19&lt;&gt;"",D19,F19)))</f>
        <v>12.711864406779661</v>
      </c>
      <c r="H19" s="4">
        <f>IF(OR(G19="",COUNT($G$5:G19)&lt;12),"",AVERAGE(G8:G19))</f>
        <v>38.983050847457626</v>
      </c>
      <c r="I19" s="4">
        <f t="shared" si="3"/>
        <v>0.32608695652173914</v>
      </c>
      <c r="J19" s="4">
        <f>IF(OR(G19="",IFERROR(VLOOKUP(B19,Сезонность!$A$4:$D$15,4,FALSE),0)=0),"",G19/IFERROR(VLOOKUP(B19,Сезонность!$A$4:$D$15,4,FALSE),1))</f>
        <v>30.562676094483724</v>
      </c>
      <c r="K19" s="4">
        <f>IF(OR(G19="",H19="",H19=0,IFERROR(VLOOKUP(B19,Сезонность!$A$4:$D$15,4,FALSE),0)=0),"",G19/(H19*IFERROR(VLOOKUP(B19,Сезонность!$A$4:$D$15,4,FALSE),1)))</f>
        <v>0.78399908242371286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47</v>
      </c>
      <c r="F20" s="4">
        <f t="shared" si="2"/>
        <v>39.83050847457627</v>
      </c>
      <c r="G20" s="4">
        <f>IF(COUNT(D20,F20)=0,"",IF(COUNT(D20,F20)=2,D20*Настройки!$B$4+F20*Настройки!$B$5,IF(D20&lt;&gt;"",D20,F20)))</f>
        <v>39.83050847457627</v>
      </c>
      <c r="H20" s="4">
        <f>IF(OR(G20="",COUNT($G$5:G20)&lt;12),"",AVERAGE(G9:G20))</f>
        <v>38.983050847457626</v>
      </c>
      <c r="I20" s="4">
        <f t="shared" si="3"/>
        <v>1.0217391304347827</v>
      </c>
      <c r="J20" s="4">
        <f>IF(OR(G20="",IFERROR(VLOOKUP(B20,Сезонность!$A$4:$D$15,4,FALSE),0)=0),"",G20/IFERROR(VLOOKUP(B20,Сезонность!$A$4:$D$15,4,FALSE),1))</f>
        <v>30.562676094483717</v>
      </c>
      <c r="K20" s="4">
        <f>IF(OR(G20="",H20="",H20=0,IFERROR(VLOOKUP(B20,Сезонность!$A$4:$D$15,4,FALSE),0)=0),"",G20/(H20*IFERROR(VLOOKUP(B20,Сезонность!$A$4:$D$15,4,FALSE),1)))</f>
        <v>0.78399908242371275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26</v>
      </c>
      <c r="F21" s="4">
        <f t="shared" si="2"/>
        <v>22.033898305084744</v>
      </c>
      <c r="G21" s="4">
        <f>IF(COUNT(D21,F21)=0,"",IF(COUNT(D21,F21)=2,D21*Настройки!$B$4+F21*Настройки!$B$5,IF(D21&lt;&gt;"",D21,F21)))</f>
        <v>22.033898305084744</v>
      </c>
      <c r="H21" s="4">
        <f>IF(OR(G21="",COUNT($G$5:G21)&lt;12),"",AVERAGE(G10:G21))</f>
        <v>36.370056497175142</v>
      </c>
      <c r="I21" s="4">
        <f t="shared" si="3"/>
        <v>0.60582524271844651</v>
      </c>
      <c r="J21" s="4">
        <f>IF(OR(G21="",IFERROR(VLOOKUP(B21,Сезонность!$A$4:$D$15,4,FALSE),0)=0),"",G21/IFERROR(VLOOKUP(B21,Сезонность!$A$4:$D$15,4,FALSE),1))</f>
        <v>28.514090921483909</v>
      </c>
      <c r="K21" s="4">
        <f>IF(OR(G21="",H21="",H21=0,IFERROR(VLOOKUP(B21,Сезонность!$A$4:$D$15,4,FALSE),0)=0),"",G21/(H21*IFERROR(VLOOKUP(B21,Сезонность!$A$4:$D$15,4,FALSE),1)))</f>
        <v>0.78399908242371297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35</v>
      </c>
      <c r="F22" s="4">
        <f t="shared" si="2"/>
        <v>29.66101694915254</v>
      </c>
      <c r="G22" s="4">
        <f>IF(COUNT(D22,F22)=0,"",IF(COUNT(D22,F22)=2,D22*Настройки!$B$4+F22*Настройки!$B$5,IF(D22&lt;&gt;"",D22,F22)))</f>
        <v>29.66101694915254</v>
      </c>
      <c r="H22" s="4">
        <f>IF(OR(G22="",COUNT($G$5:G22)&lt;12),"",AVERAGE(G11:G22))</f>
        <v>35.310734463276837</v>
      </c>
      <c r="I22" s="4">
        <f t="shared" si="3"/>
        <v>0.83999999999999986</v>
      </c>
      <c r="J22" s="4">
        <f>IF(OR(G22="",IFERROR(VLOOKUP(B22,Сезонность!$A$4:$D$15,4,FALSE),0)=0),"",G22/IFERROR(VLOOKUP(B22,Сезонность!$A$4:$D$15,4,FALSE),1))</f>
        <v>27.683583418916417</v>
      </c>
      <c r="K22" s="4">
        <f>IF(OR(G22="",H22="",H22=0,IFERROR(VLOOKUP(B22,Сезонность!$A$4:$D$15,4,FALSE),0)=0),"",G22/(H22*IFERROR(VLOOKUP(B22,Сезонность!$A$4:$D$15,4,FALSE),1)))</f>
        <v>0.78399908242371286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34</v>
      </c>
      <c r="F23" s="4">
        <f t="shared" si="2"/>
        <v>28.8135593220339</v>
      </c>
      <c r="G23" s="4">
        <f>IF(COUNT(D23,F23)=0,"",IF(COUNT(D23,F23)=2,D23*Настройки!$B$4+F23*Настройки!$B$5,IF(D23&lt;&gt;"",D23,F23)))</f>
        <v>28.8135593220339</v>
      </c>
      <c r="H23" s="4">
        <f>IF(OR(G23="",COUNT($G$5:G23)&lt;12),"",AVERAGE(G12:G23))</f>
        <v>29.378531073446322</v>
      </c>
      <c r="I23" s="4">
        <f t="shared" si="3"/>
        <v>0.98076923076923106</v>
      </c>
      <c r="J23" s="4">
        <f>IF(OR(G23="",IFERROR(VLOOKUP(B23,Сезонность!$A$4:$D$15,4,FALSE),0)=0),"",G23/IFERROR(VLOOKUP(B23,Сезонность!$A$4:$D$15,4,FALSE),1))</f>
        <v>23.032741404538449</v>
      </c>
      <c r="K23" s="4">
        <f>IF(OR(G23="",H23="",H23=0,IFERROR(VLOOKUP(B23,Сезонность!$A$4:$D$15,4,FALSE),0)=0),"",G23/(H23*IFERROR(VLOOKUP(B23,Сезонность!$A$4:$D$15,4,FALSE),1)))</f>
        <v>0.78399908242371275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23</v>
      </c>
      <c r="F24" s="4">
        <f t="shared" si="2"/>
        <v>19.491525423728813</v>
      </c>
      <c r="G24" s="4">
        <f>IF(COUNT(D24,F24)=0,"",IF(COUNT(D24,F24)=2,D24*Настройки!$B$4+F24*Настройки!$B$5,IF(D24&lt;&gt;"",D24,F24)))</f>
        <v>19.491525423728813</v>
      </c>
      <c r="H24" s="4">
        <f>IF(OR(G24="",COUNT($G$5:G24)&lt;12),"",AVERAGE(G13:G24))</f>
        <v>27.612994350282481</v>
      </c>
      <c r="I24" s="4">
        <f t="shared" si="3"/>
        <v>0.70588235294117663</v>
      </c>
      <c r="J24" s="4">
        <f>IF(OR(G24="",IFERROR(VLOOKUP(B24,Сезонность!$A$4:$D$15,4,FALSE),0)=0),"",G24/IFERROR(VLOOKUP(B24,Сезонность!$A$4:$D$15,4,FALSE),1))</f>
        <v>21.648562233592632</v>
      </c>
      <c r="K24" s="4">
        <f>IF(OR(G24="",H24="",H24=0,IFERROR(VLOOKUP(B24,Сезонность!$A$4:$D$15,4,FALSE),0)=0),"",G24/(H24*IFERROR(VLOOKUP(B24,Сезонность!$A$4:$D$15,4,FALSE),1)))</f>
        <v>0.78399908242371286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32</v>
      </c>
      <c r="F25" s="4">
        <f t="shared" si="2"/>
        <v>27.118644067796609</v>
      </c>
      <c r="G25" s="4">
        <f>IF(COUNT(D25,F25)=0,"",IF(COUNT(D25,F25)=2,D25*Настройки!$B$4+F25*Настройки!$B$5,IF(D25&lt;&gt;"",D25,F25)))</f>
        <v>27.118644067796609</v>
      </c>
      <c r="H25" s="4">
        <f>IF(OR(G25="",COUNT($G$5:G25)&lt;12),"",AVERAGE(G14:G25))</f>
        <v>26.836158192090394</v>
      </c>
      <c r="I25" s="4">
        <f t="shared" si="3"/>
        <v>1.0105263157894737</v>
      </c>
      <c r="J25" s="4">
        <f>IF(OR(G25="",IFERROR(VLOOKUP(B25,Сезонность!$A$4:$D$15,4,FALSE),0)=0),"",G25/IFERROR(VLOOKUP(B25,Сезонность!$A$4:$D$15,4,FALSE),1))</f>
        <v>21.039523398376474</v>
      </c>
      <c r="K25" s="4">
        <f>IF(OR(G25="",H25="",H25=0,IFERROR(VLOOKUP(B25,Сезонность!$A$4:$D$15,4,FALSE),0)=0),"",G25/(H25*IFERROR(VLOOKUP(B25,Сезонность!$A$4:$D$15,4,FALSE),1)))</f>
        <v>0.78399908242371275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55</v>
      </c>
      <c r="F26" s="4">
        <f t="shared" si="2"/>
        <v>46.610169491525419</v>
      </c>
      <c r="G26" s="4">
        <f>IF(COUNT(D26,F26)=0,"",IF(COUNT(D26,F26)=2,D26*Настройки!$B$4+F26*Настройки!$B$5,IF(D26&lt;&gt;"",D26,F26)))</f>
        <v>46.610169491525419</v>
      </c>
      <c r="H26" s="4">
        <f>IF(OR(G26="",COUNT($G$5:G26)&lt;12),"",AVERAGE(G15:G26))</f>
        <v>26.977401129943502</v>
      </c>
      <c r="I26" s="4">
        <f t="shared" si="3"/>
        <v>1.7277486910994764</v>
      </c>
      <c r="J26" s="4">
        <f>IF(OR(G26="",IFERROR(VLOOKUP(B26,Сезонность!$A$4:$D$15,4,FALSE),0)=0),"",G26/IFERROR(VLOOKUP(B26,Сезонность!$A$4:$D$15,4,FALSE),1))</f>
        <v>21.15025773205214</v>
      </c>
      <c r="K26" s="4">
        <f>IF(OR(G26="",H26="",H26=0,IFERROR(VLOOKUP(B26,Сезонность!$A$4:$D$15,4,FALSE),0)=0),"",G26/(H26*IFERROR(VLOOKUP(B26,Сезонность!$A$4:$D$15,4,FALSE),1)))</f>
        <v>0.78399908242371286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12</v>
      </c>
      <c r="F27" s="4">
        <f t="shared" si="2"/>
        <v>10.16949152542373</v>
      </c>
      <c r="G27" s="4">
        <f>IF(COUNT(D27,F27)=0,"",IF(COUNT(D27,F27)=2,D27*Настройки!$B$4+F27*Настройки!$B$5,IF(D27&lt;&gt;"",D27,F27)))</f>
        <v>10.16949152542373</v>
      </c>
      <c r="H27" s="4">
        <f>IF(OR(G27="",COUNT($G$5:G27)&lt;12),"",AVERAGE(G16:G27))</f>
        <v>26.200564971751408</v>
      </c>
      <c r="I27" s="4">
        <f t="shared" si="3"/>
        <v>0.38814016172506749</v>
      </c>
      <c r="J27" s="4">
        <f>IF(OR(G27="",IFERROR(VLOOKUP(B27,Сезонность!$A$4:$D$15,4,FALSE),0)=0),"",G27/IFERROR(VLOOKUP(B27,Сезонность!$A$4:$D$15,4,FALSE),1))</f>
        <v>20.541218896835979</v>
      </c>
      <c r="K27" s="4">
        <f>IF(OR(G27="",H27="",H27=0,IFERROR(VLOOKUP(B27,Сезонность!$A$4:$D$15,4,FALSE),0)=0),"",G27/(H27*IFERROR(VLOOKUP(B27,Сезонность!$A$4:$D$15,4,FALSE),1)))</f>
        <v>0.78399908242371286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14</v>
      </c>
      <c r="F28" s="4">
        <f t="shared" si="2"/>
        <v>11.864406779661017</v>
      </c>
      <c r="G28" s="4">
        <f>IF(COUNT(D28,F28)=0,"",IF(COUNT(D28,F28)=2,D28*Настройки!$B$4+F28*Настройки!$B$5,IF(D28&lt;&gt;"",D28,F28)))</f>
        <v>11.864406779661017</v>
      </c>
      <c r="H28" s="4">
        <f>IF(OR(G28="",COUNT($G$5:G28)&lt;12),"",AVERAGE(G17:G28))</f>
        <v>25.494350282485872</v>
      </c>
      <c r="I28" s="4">
        <f t="shared" si="3"/>
        <v>0.46537396121883667</v>
      </c>
      <c r="J28" s="4">
        <f>IF(OR(G28="",IFERROR(VLOOKUP(B28,Сезонность!$A$4:$D$15,4,FALSE),0)=0),"",G28/IFERROR(VLOOKUP(B28,Сезонность!$A$4:$D$15,4,FALSE),1))</f>
        <v>20.276299190465853</v>
      </c>
      <c r="K28" s="4">
        <f>IF(OR(G28="",H28="",H28=0,IFERROR(VLOOKUP(B28,Сезонность!$A$4:$D$15,4,FALSE),0)=0),"",G28/(H28*IFERROR(VLOOKUP(B28,Сезонность!$A$4:$D$15,4,FALSE),1)))</f>
        <v>0.79532519816342528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10" t="s">
        <v>46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0.60582524271844651</v>
      </c>
      <c r="D4" s="4">
        <f t="shared" ref="D4:D15" si="0">IF(C4="","",C4/AVERAGE($C$4:$C$15))</f>
        <v>0.77273718337214559</v>
      </c>
      <c r="E4" s="4">
        <f t="shared" ref="E4:E15" si="1">IF(D4="","",D4-1)</f>
        <v>-0.22726281662785441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0.83999999999999986</v>
      </c>
      <c r="D5" s="4">
        <f t="shared" si="0"/>
        <v>1.0714298254063788</v>
      </c>
      <c r="E5" s="4">
        <f t="shared" si="1"/>
        <v>7.1429825406378766E-2</v>
      </c>
      <c r="F5" s="2" t="str">
        <f t="shared" si="2"/>
        <v>средний сезонный уровень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0.98076923076923106</v>
      </c>
      <c r="D6" s="4">
        <f t="shared" si="0"/>
        <v>1.250982625817888</v>
      </c>
      <c r="E6" s="4">
        <f t="shared" si="1"/>
        <v>0.25098262581788799</v>
      </c>
      <c r="F6" s="2" t="str">
        <f t="shared" si="2"/>
        <v>сезонный максимум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0.70588235294117663</v>
      </c>
      <c r="D7" s="4">
        <f t="shared" si="0"/>
        <v>0.90036119782048674</v>
      </c>
      <c r="E7" s="4">
        <f t="shared" si="1"/>
        <v>-9.9638802179513264E-2</v>
      </c>
      <c r="F7" s="2" t="str">
        <f t="shared" si="2"/>
        <v>средний сезонный уровень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1.0105263157894737</v>
      </c>
      <c r="D8" s="4">
        <f t="shared" si="0"/>
        <v>1.2889381358272229</v>
      </c>
      <c r="E8" s="4">
        <f t="shared" si="1"/>
        <v>0.28893813582722294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1.7277486910994764</v>
      </c>
      <c r="D9" s="4">
        <f t="shared" si="0"/>
        <v>2.2037636648223948</v>
      </c>
      <c r="E9" s="4">
        <f t="shared" si="1"/>
        <v>1.2037636648223948</v>
      </c>
      <c r="F9" s="2" t="str">
        <f t="shared" si="2"/>
        <v>сезонный максимум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0.38814016172506749</v>
      </c>
      <c r="D10" s="4">
        <f t="shared" si="0"/>
        <v>0.49507731632177709</v>
      </c>
      <c r="E10" s="4">
        <f t="shared" si="1"/>
        <v>-0.50492268367822291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0.45874663524050152</v>
      </c>
      <c r="D11" s="4">
        <f t="shared" si="0"/>
        <v>0.58513669916844568</v>
      </c>
      <c r="E11" s="4">
        <f t="shared" si="1"/>
        <v>-0.41486330083155432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0.58252427184466027</v>
      </c>
      <c r="D12" s="4">
        <f t="shared" si="0"/>
        <v>0.74301652247321714</v>
      </c>
      <c r="E12" s="4">
        <f t="shared" si="1"/>
        <v>-0.25698347752678286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0.7599999999999999</v>
      </c>
      <c r="D13" s="4">
        <f t="shared" si="0"/>
        <v>0.96938888965339043</v>
      </c>
      <c r="E13" s="4">
        <f t="shared" si="1"/>
        <v>-3.0611110346609571E-2</v>
      </c>
      <c r="F13" s="2" t="str">
        <f t="shared" si="2"/>
        <v>средний сезонный уровень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0.32608695652173914</v>
      </c>
      <c r="D14" s="4">
        <f t="shared" si="0"/>
        <v>0.4159277272540291</v>
      </c>
      <c r="E14" s="4">
        <f t="shared" si="1"/>
        <v>-0.58407227274597084</v>
      </c>
      <c r="F14" s="2" t="str">
        <f t="shared" si="2"/>
        <v>сезонный минимум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1.0217391304347827</v>
      </c>
      <c r="D15" s="4">
        <f t="shared" si="0"/>
        <v>1.3032402120626247</v>
      </c>
      <c r="E15" s="4">
        <f t="shared" si="1"/>
        <v>0.30324021206262475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2.2037636648223948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0.4159277272540291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1.7878359375683657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июнь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ноябрь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10" t="s">
        <v>67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44.985875706214692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25.494350282485872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-19.49152542372882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-0.43328100470957626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-1.5350036845983792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9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10" t="s">
        <v>92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200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0.79532519816342528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0.77267296668400043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0.79532519816342528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2.2652231479424856E-2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41.525423728813557</v>
      </c>
      <c r="C14" s="4" t="str">
        <f>Расчет!H5</f>
        <v/>
      </c>
      <c r="D14" s="4">
        <f>IFERROR(VLOOKUP(Расчет!B5,Сезонность!$A$4:$D$15,4,FALSE),"")</f>
        <v>0.74301652247321714</v>
      </c>
      <c r="E14" s="4">
        <f>Расчет!J5</f>
        <v>55.887618206108449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47.457627118644069</v>
      </c>
      <c r="C15" s="4" t="str">
        <f>Расчет!H6</f>
        <v/>
      </c>
      <c r="D15" s="4">
        <f>IFERROR(VLOOKUP(Расчет!B6,Сезонность!$A$4:$D$15,4,FALSE),"")</f>
        <v>0.96938888965339043</v>
      </c>
      <c r="E15" s="4">
        <f>Расчет!J6</f>
        <v>48.956231730294299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53.389830508474581</v>
      </c>
      <c r="C16" s="4" t="str">
        <f>Расчет!H7</f>
        <v/>
      </c>
      <c r="D16" s="4">
        <f>IFERROR(VLOOKUP(Расчет!B7,Сезонность!$A$4:$D$15,4,FALSE),"")</f>
        <v>0.4159277272540291</v>
      </c>
      <c r="E16" s="4">
        <f>Расчет!J7</f>
        <v>128.36323959683165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39.83050847457627</v>
      </c>
      <c r="C17" s="4" t="str">
        <f>Расчет!H8</f>
        <v/>
      </c>
      <c r="D17" s="4">
        <f>IFERROR(VLOOKUP(Расчет!B8,Сезонность!$A$4:$D$15,4,FALSE),"")</f>
        <v>1.3032402120626247</v>
      </c>
      <c r="E17" s="4">
        <f>Расчет!J8</f>
        <v>30.562676094483717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53.389830508474581</v>
      </c>
      <c r="C18" s="4" t="str">
        <f>Расчет!H9</f>
        <v/>
      </c>
      <c r="D18" s="4">
        <f>IFERROR(VLOOKUP(Расчет!B9,Сезонность!$A$4:$D$15,4,FALSE),"")</f>
        <v>0.77273718337214559</v>
      </c>
      <c r="E18" s="4">
        <f>Расчет!J9</f>
        <v>69.091835694364875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42.372881355932201</v>
      </c>
      <c r="C19" s="4" t="str">
        <f>Расчет!H10</f>
        <v/>
      </c>
      <c r="D19" s="4">
        <f>IFERROR(VLOOKUP(Расчет!B10,Сезонность!$A$4:$D$15,4,FALSE),"")</f>
        <v>1.0714298254063788</v>
      </c>
      <c r="E19" s="4">
        <f>Расчет!J10</f>
        <v>39.547976312737738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100</v>
      </c>
      <c r="C20" s="4" t="str">
        <f>Расчет!H11</f>
        <v/>
      </c>
      <c r="D20" s="4">
        <f>IFERROR(VLOOKUP(Расчет!B11,Сезонность!$A$4:$D$15,4,FALSE),"")</f>
        <v>1.250982625817888</v>
      </c>
      <c r="E20" s="4">
        <f>Расчет!J11</f>
        <v>79.937161345162849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40.677966101694921</v>
      </c>
      <c r="C21" s="4" t="str">
        <f>Расчет!H12</f>
        <v/>
      </c>
      <c r="D21" s="4">
        <f>IFERROR(VLOOKUP(Расчет!B12,Сезонность!$A$4:$D$15,4,FALSE),"")</f>
        <v>0.90036119782048674</v>
      </c>
      <c r="E21" s="4">
        <f>Расчет!J12</f>
        <v>45.179608139671586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36.440677966101696</v>
      </c>
      <c r="C22" s="4" t="str">
        <f>Расчет!H13</f>
        <v/>
      </c>
      <c r="D22" s="4">
        <f>IFERROR(VLOOKUP(Расчет!B13,Сезонность!$A$4:$D$15,4,FALSE),"")</f>
        <v>1.2889381358272229</v>
      </c>
      <c r="E22" s="4">
        <f>Расчет!J13</f>
        <v>28.271859566568388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44.915254237288138</v>
      </c>
      <c r="C23" s="4" t="str">
        <f>Расчет!H14</f>
        <v/>
      </c>
      <c r="D23" s="4">
        <f>IFERROR(VLOOKUP(Расчет!B14,Сезонность!$A$4:$D$15,4,FALSE),"")</f>
        <v>2.2037636648223948</v>
      </c>
      <c r="E23" s="4">
        <f>Расчет!J14</f>
        <v>20.381157450886612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19.491525423728813</v>
      </c>
      <c r="C24" s="4" t="str">
        <f>Расчет!H15</f>
        <v/>
      </c>
      <c r="D24" s="4">
        <f>IFERROR(VLOOKUP(Расчет!B15,Сезонность!$A$4:$D$15,4,FALSE),"")</f>
        <v>0.49507731632177709</v>
      </c>
      <c r="E24" s="4">
        <f>Расчет!J15</f>
        <v>39.37066955226895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20.33898305084746</v>
      </c>
      <c r="C25" s="4">
        <f>Расчет!H16</f>
        <v>44.985875706214692</v>
      </c>
      <c r="D25" s="4">
        <f>IFERROR(VLOOKUP(Расчет!B16,Сезонность!$A$4:$D$15,4,FALSE),"")</f>
        <v>0.58513669916844568</v>
      </c>
      <c r="E25" s="4">
        <f>Расчет!J16</f>
        <v>34.759370040798608</v>
      </c>
      <c r="F25" s="4">
        <f>Расчет!K16</f>
        <v>0.77267296668400043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25.423728813559322</v>
      </c>
      <c r="C26" s="4">
        <f>Расчет!H17</f>
        <v>43.644067796610166</v>
      </c>
      <c r="D26" s="4">
        <f>IFERROR(VLOOKUP(Расчет!B17,Сезонность!$A$4:$D$15,4,FALSE),"")</f>
        <v>0.74301652247321714</v>
      </c>
      <c r="E26" s="4">
        <f>Расчет!J17</f>
        <v>34.216909105780687</v>
      </c>
      <c r="F26" s="4">
        <f>Расчет!K17</f>
        <v>0.78399908242371286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32.20338983050847</v>
      </c>
      <c r="C27" s="4">
        <f>Расчет!H18</f>
        <v>42.372881355932201</v>
      </c>
      <c r="D27" s="4">
        <f>IFERROR(VLOOKUP(Расчет!B18,Сезонность!$A$4:$D$15,4,FALSE),"")</f>
        <v>0.96938888965339043</v>
      </c>
      <c r="E27" s="4">
        <f>Расчет!J18</f>
        <v>33.220300102699696</v>
      </c>
      <c r="F27" s="4">
        <f>Расчет!K18</f>
        <v>0.78399908242371286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12.711864406779661</v>
      </c>
      <c r="C28" s="4">
        <f>Расчет!H19</f>
        <v>38.983050847457626</v>
      </c>
      <c r="D28" s="4">
        <f>IFERROR(VLOOKUP(Расчет!B19,Сезонность!$A$4:$D$15,4,FALSE),"")</f>
        <v>0.4159277272540291</v>
      </c>
      <c r="E28" s="4">
        <f>Расчет!J19</f>
        <v>30.562676094483724</v>
      </c>
      <c r="F28" s="4">
        <f>Расчет!K19</f>
        <v>0.78399908242371286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39.83050847457627</v>
      </c>
      <c r="C29" s="4">
        <f>Расчет!H20</f>
        <v>38.983050847457626</v>
      </c>
      <c r="D29" s="4">
        <f>IFERROR(VLOOKUP(Расчет!B20,Сезонность!$A$4:$D$15,4,FALSE),"")</f>
        <v>1.3032402120626247</v>
      </c>
      <c r="E29" s="4">
        <f>Расчет!J20</f>
        <v>30.562676094483717</v>
      </c>
      <c r="F29" s="4">
        <f>Расчет!K20</f>
        <v>0.78399908242371275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22.033898305084744</v>
      </c>
      <c r="C30" s="4">
        <f>Расчет!H21</f>
        <v>36.370056497175142</v>
      </c>
      <c r="D30" s="4">
        <f>IFERROR(VLOOKUP(Расчет!B21,Сезонность!$A$4:$D$15,4,FALSE),"")</f>
        <v>0.77273718337214559</v>
      </c>
      <c r="E30" s="4">
        <f>Расчет!J21</f>
        <v>28.514090921483909</v>
      </c>
      <c r="F30" s="4">
        <f>Расчет!K21</f>
        <v>0.78399908242371297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29.66101694915254</v>
      </c>
      <c r="C31" s="4">
        <f>Расчет!H22</f>
        <v>35.310734463276837</v>
      </c>
      <c r="D31" s="4">
        <f>IFERROR(VLOOKUP(Расчет!B22,Сезонность!$A$4:$D$15,4,FALSE),"")</f>
        <v>1.0714298254063788</v>
      </c>
      <c r="E31" s="4">
        <f>Расчет!J22</f>
        <v>27.683583418916417</v>
      </c>
      <c r="F31" s="4">
        <f>Расчет!K22</f>
        <v>0.78399908242371286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28.8135593220339</v>
      </c>
      <c r="C32" s="4">
        <f>Расчет!H23</f>
        <v>29.378531073446322</v>
      </c>
      <c r="D32" s="4">
        <f>IFERROR(VLOOKUP(Расчет!B23,Сезонность!$A$4:$D$15,4,FALSE),"")</f>
        <v>1.250982625817888</v>
      </c>
      <c r="E32" s="4">
        <f>Расчет!J23</f>
        <v>23.032741404538449</v>
      </c>
      <c r="F32" s="4">
        <f>Расчет!K23</f>
        <v>0.78399908242371275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19.491525423728813</v>
      </c>
      <c r="C33" s="4">
        <f>Расчет!H24</f>
        <v>27.612994350282481</v>
      </c>
      <c r="D33" s="4">
        <f>IFERROR(VLOOKUP(Расчет!B24,Сезонность!$A$4:$D$15,4,FALSE),"")</f>
        <v>0.90036119782048674</v>
      </c>
      <c r="E33" s="4">
        <f>Расчет!J24</f>
        <v>21.648562233592632</v>
      </c>
      <c r="F33" s="4">
        <f>Расчет!K24</f>
        <v>0.78399908242371286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27.118644067796609</v>
      </c>
      <c r="C34" s="4">
        <f>Расчет!H25</f>
        <v>26.836158192090394</v>
      </c>
      <c r="D34" s="4">
        <f>IFERROR(VLOOKUP(Расчет!B25,Сезонность!$A$4:$D$15,4,FALSE),"")</f>
        <v>1.2889381358272229</v>
      </c>
      <c r="E34" s="4">
        <f>Расчет!J25</f>
        <v>21.039523398376474</v>
      </c>
      <c r="F34" s="4">
        <f>Расчет!K25</f>
        <v>0.78399908242371275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46.610169491525419</v>
      </c>
      <c r="C35" s="4">
        <f>Расчет!H26</f>
        <v>26.977401129943502</v>
      </c>
      <c r="D35" s="4">
        <f>IFERROR(VLOOKUP(Расчет!B26,Сезонность!$A$4:$D$15,4,FALSE),"")</f>
        <v>2.2037636648223948</v>
      </c>
      <c r="E35" s="4">
        <f>Расчет!J26</f>
        <v>21.15025773205214</v>
      </c>
      <c r="F35" s="4">
        <f>Расчет!K26</f>
        <v>0.78399908242371286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10.16949152542373</v>
      </c>
      <c r="C36" s="4">
        <f>Расчет!H27</f>
        <v>26.200564971751408</v>
      </c>
      <c r="D36" s="4">
        <f>IFERROR(VLOOKUP(Расчет!B27,Сезонность!$A$4:$D$15,4,FALSE),"")</f>
        <v>0.49507731632177709</v>
      </c>
      <c r="E36" s="4">
        <f>Расчет!J27</f>
        <v>20.541218896835979</v>
      </c>
      <c r="F36" s="4">
        <f>Расчет!K27</f>
        <v>0.78399908242371286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11.864406779661017</v>
      </c>
      <c r="C37" s="4">
        <f>Расчет!H28</f>
        <v>25.494350282485872</v>
      </c>
      <c r="D37" s="4">
        <f>IFERROR(VLOOKUP(Расчет!B28,Сезонность!$A$4:$D$15,4,FALSE),"")</f>
        <v>0.58513669916844568</v>
      </c>
      <c r="E37" s="4">
        <f>Расчет!J28</f>
        <v>20.276299190465853</v>
      </c>
      <c r="F37" s="4">
        <f>Расчет!K28</f>
        <v>0.79532519816342528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6"/>
  <sheetViews>
    <sheetView workbookViewId="0">
      <selection activeCell="A6" sqref="A6:H6"/>
    </sheetView>
  </sheetViews>
  <sheetFormatPr defaultRowHeight="14.25"/>
  <cols>
    <col min="1" max="1" width="33.625" customWidth="1"/>
    <col min="2" max="3" width="55.625" customWidth="1"/>
    <col min="4" max="4" width="29.625" customWidth="1"/>
    <col min="5" max="5" width="39.625" customWidth="1"/>
    <col min="6" max="6" width="14" customWidth="1"/>
    <col min="7" max="8" width="55.625" customWidth="1"/>
    <col min="9" max="26" width="9.625" customWidth="1"/>
  </cols>
  <sheetData>
    <row r="1" spans="1:26" ht="18.75">
      <c r="A1" s="10" t="s">
        <v>100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8" t="s">
        <v>183</v>
      </c>
      <c r="B4" s="1" t="s">
        <v>109</v>
      </c>
      <c r="C4" s="1" t="s">
        <v>163</v>
      </c>
      <c r="D4" s="1" t="s">
        <v>156</v>
      </c>
      <c r="E4" s="1" t="s">
        <v>184</v>
      </c>
      <c r="F4" s="1" t="s">
        <v>155</v>
      </c>
      <c r="G4" s="1" t="s">
        <v>164</v>
      </c>
      <c r="H4" s="1" t="s">
        <v>185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183</v>
      </c>
      <c r="B5" s="1" t="s">
        <v>109</v>
      </c>
      <c r="C5" s="1" t="s">
        <v>165</v>
      </c>
      <c r="D5" s="1" t="s">
        <v>156</v>
      </c>
      <c r="E5" s="1" t="s">
        <v>184</v>
      </c>
      <c r="F5" s="1" t="s">
        <v>155</v>
      </c>
      <c r="G5" s="1" t="s">
        <v>166</v>
      </c>
      <c r="H5" s="1" t="s">
        <v>186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183</v>
      </c>
      <c r="B6" s="1" t="s">
        <v>109</v>
      </c>
      <c r="C6" s="1" t="s">
        <v>163</v>
      </c>
      <c r="D6" s="1" t="s">
        <v>156</v>
      </c>
      <c r="E6" s="1" t="s">
        <v>182</v>
      </c>
      <c r="F6" s="1" t="s">
        <v>155</v>
      </c>
      <c r="G6" s="1" t="s">
        <v>181</v>
      </c>
      <c r="H6" s="1" t="s">
        <v>187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9" t="s">
        <v>183</v>
      </c>
      <c r="B7" s="2" t="s">
        <v>109</v>
      </c>
      <c r="C7" s="2" t="s">
        <v>157</v>
      </c>
      <c r="D7" s="2" t="s">
        <v>156</v>
      </c>
      <c r="E7" s="2" t="s">
        <v>184</v>
      </c>
      <c r="F7" s="2" t="s">
        <v>155</v>
      </c>
      <c r="G7" s="2" t="s">
        <v>158</v>
      </c>
      <c r="H7" s="2" t="s">
        <v>188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9" t="s">
        <v>183</v>
      </c>
      <c r="B8" s="2" t="s">
        <v>109</v>
      </c>
      <c r="C8" s="2" t="s">
        <v>159</v>
      </c>
      <c r="D8" s="2" t="s">
        <v>156</v>
      </c>
      <c r="E8" s="2" t="s">
        <v>184</v>
      </c>
      <c r="F8" s="2" t="s">
        <v>155</v>
      </c>
      <c r="G8" s="2" t="s">
        <v>160</v>
      </c>
      <c r="H8" s="2" t="s">
        <v>189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9" t="s">
        <v>183</v>
      </c>
      <c r="B9" s="2" t="s">
        <v>109</v>
      </c>
      <c r="C9" s="2" t="s">
        <v>161</v>
      </c>
      <c r="D9" s="2" t="s">
        <v>156</v>
      </c>
      <c r="E9" s="2" t="s">
        <v>184</v>
      </c>
      <c r="F9" s="2" t="s">
        <v>155</v>
      </c>
      <c r="G9" s="2" t="s">
        <v>162</v>
      </c>
      <c r="H9" s="2" t="s">
        <v>190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>
      <c r="A10" s="9" t="s">
        <v>183</v>
      </c>
      <c r="B10" s="2" t="s">
        <v>109</v>
      </c>
      <c r="C10" s="2" t="s">
        <v>163</v>
      </c>
      <c r="D10" s="2" t="s">
        <v>156</v>
      </c>
      <c r="E10" s="2" t="s">
        <v>184</v>
      </c>
      <c r="F10" s="2" t="s">
        <v>155</v>
      </c>
      <c r="G10" s="2" t="s">
        <v>164</v>
      </c>
      <c r="H10" s="2" t="s">
        <v>185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9" t="s">
        <v>183</v>
      </c>
      <c r="B11" s="2" t="s">
        <v>109</v>
      </c>
      <c r="C11" s="2" t="s">
        <v>165</v>
      </c>
      <c r="D11" s="2" t="s">
        <v>156</v>
      </c>
      <c r="E11" s="2" t="s">
        <v>184</v>
      </c>
      <c r="F11" s="2" t="s">
        <v>155</v>
      </c>
      <c r="G11" s="2" t="s">
        <v>166</v>
      </c>
      <c r="H11" s="2" t="s">
        <v>186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9" t="s">
        <v>183</v>
      </c>
      <c r="B12" s="2" t="s">
        <v>109</v>
      </c>
      <c r="C12" s="2" t="s">
        <v>167</v>
      </c>
      <c r="D12" s="2" t="s">
        <v>156</v>
      </c>
      <c r="E12" s="2" t="s">
        <v>184</v>
      </c>
      <c r="F12" s="2" t="s">
        <v>155</v>
      </c>
      <c r="G12" s="2" t="s">
        <v>168</v>
      </c>
      <c r="H12" s="2" t="s">
        <v>191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9" t="s">
        <v>183</v>
      </c>
      <c r="B13" s="2" t="s">
        <v>109</v>
      </c>
      <c r="C13" s="2" t="s">
        <v>169</v>
      </c>
      <c r="D13" s="2" t="s">
        <v>156</v>
      </c>
      <c r="E13" s="2" t="s">
        <v>184</v>
      </c>
      <c r="F13" s="2" t="s">
        <v>155</v>
      </c>
      <c r="G13" s="2" t="s">
        <v>170</v>
      </c>
      <c r="H13" s="2" t="s">
        <v>192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>
      <c r="A14" s="9" t="s">
        <v>183</v>
      </c>
      <c r="B14" s="2" t="s">
        <v>109</v>
      </c>
      <c r="C14" s="2" t="s">
        <v>171</v>
      </c>
      <c r="D14" s="2" t="s">
        <v>156</v>
      </c>
      <c r="E14" s="2" t="s">
        <v>184</v>
      </c>
      <c r="F14" s="2" t="s">
        <v>155</v>
      </c>
      <c r="G14" s="2" t="s">
        <v>172</v>
      </c>
      <c r="H14" s="2" t="s">
        <v>193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9" t="s">
        <v>183</v>
      </c>
      <c r="B15" s="2" t="s">
        <v>109</v>
      </c>
      <c r="C15" s="2" t="s">
        <v>173</v>
      </c>
      <c r="D15" s="2" t="s">
        <v>156</v>
      </c>
      <c r="E15" s="2" t="s">
        <v>184</v>
      </c>
      <c r="F15" s="2" t="s">
        <v>155</v>
      </c>
      <c r="G15" s="2" t="s">
        <v>174</v>
      </c>
      <c r="H15" s="2" t="s">
        <v>194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25">
      <c r="A16" s="9" t="s">
        <v>183</v>
      </c>
      <c r="B16" s="2" t="s">
        <v>109</v>
      </c>
      <c r="C16" s="2" t="s">
        <v>175</v>
      </c>
      <c r="D16" s="2" t="s">
        <v>176</v>
      </c>
      <c r="E16" s="2" t="s">
        <v>177</v>
      </c>
      <c r="F16" s="2" t="s">
        <v>155</v>
      </c>
      <c r="G16" s="2" t="s">
        <v>178</v>
      </c>
      <c r="H16" s="2" t="s">
        <v>195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9" t="s">
        <v>183</v>
      </c>
      <c r="B17" s="2" t="s">
        <v>109</v>
      </c>
      <c r="C17" s="2" t="s">
        <v>179</v>
      </c>
      <c r="D17" s="2" t="s">
        <v>156</v>
      </c>
      <c r="E17" s="2" t="s">
        <v>180</v>
      </c>
      <c r="F17" s="2" t="s">
        <v>155</v>
      </c>
      <c r="G17" s="2" t="s">
        <v>181</v>
      </c>
      <c r="H17" s="2" t="s">
        <v>196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1">
      <c r="A19" s="7" t="s">
        <v>107</v>
      </c>
      <c r="B19" s="2" t="s">
        <v>225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10" t="s">
        <v>110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201</v>
      </c>
      <c r="C4" s="2" t="s">
        <v>202</v>
      </c>
      <c r="D4" s="2" t="s">
        <v>203</v>
      </c>
      <c r="E4" s="2" t="s">
        <v>204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209</v>
      </c>
      <c r="C6" s="2" t="s">
        <v>210</v>
      </c>
      <c r="D6" s="2" t="s">
        <v>211</v>
      </c>
      <c r="E6" s="2" t="s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213</v>
      </c>
      <c r="C7" s="2" t="s">
        <v>214</v>
      </c>
      <c r="D7" s="2" t="s">
        <v>215</v>
      </c>
      <c r="E7" s="2" t="s">
        <v>216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221</v>
      </c>
      <c r="C9" s="2" t="s">
        <v>222</v>
      </c>
      <c r="D9" s="2" t="s">
        <v>223</v>
      </c>
      <c r="E9" s="2" t="s">
        <v>224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10" t="s">
        <v>125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2026-10-04T16:53:07Z</dcterms:created>
  <dcterms:modified xsi:type="dcterms:W3CDTF">2026-10-04T18:48:22Z</dcterms:modified>
</cp:coreProperties>
</file>