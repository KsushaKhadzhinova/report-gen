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ИИТ\ЭлектронныйБизнес\СДАЧА\ЛР5\"/>
    </mc:Choice>
  </mc:AlternateContent>
  <xr:revisionPtr revIDLastSave="0" documentId="13_ncr:1_{68AFA038-848A-4FFD-AC64-9AB3C14DF716}" xr6:coauthVersionLast="47" xr6:coauthVersionMax="47" xr10:uidLastSave="{00000000-0000-0000-0000-000000000000}"/>
  <bookViews>
    <workbookView xWindow="28680" yWindow="-120" windowWidth="29040" windowHeight="15720" xr2:uid="{00000000-000D-0000-FFFF-FFFF00000000}"/>
  </bookViews>
  <sheets>
    <sheet name="00_Инструкция" sheetId="1" r:id="rId1"/>
    <sheet name="01_Конкуренты" sheetId="2" r:id="rId2"/>
    <sheet name="02_Карта_сайтов" sheetId="3" r:id="rId3"/>
    <sheet name="03_Левитт" sheetId="4" r:id="rId4"/>
    <sheet name="04_Кано" sheetId="5" r:id="rId5"/>
    <sheet name="05_Матрица_товара" sheetId="6" r:id="rId6"/>
    <sheet name="06_Сравнение" sheetId="7" r:id="rId7"/>
    <sheet name="07_Стандарт_рынка" sheetId="8" r:id="rId8"/>
    <sheet name="08_Преимущества" sheetId="9" r:id="rId9"/>
    <sheet name="09_Дашборд" sheetId="10" r:id="rId10"/>
    <sheet name="99_Справочники" sheetId="11" r:id="rId11"/>
    <sheet name="98_Журнал" sheetId="12" r:id="rId12"/>
  </sheets>
  <calcPr calcId="191029" refMode="R1C1"/>
</workbook>
</file>

<file path=xl/calcChain.xml><?xml version="1.0" encoding="utf-8"?>
<calcChain xmlns="http://schemas.openxmlformats.org/spreadsheetml/2006/main">
  <c r="G10" i="10" l="1"/>
  <c r="K9" i="10"/>
  <c r="G9" i="10"/>
  <c r="K8" i="10"/>
  <c r="G8" i="10"/>
  <c r="B8" i="10"/>
  <c r="K7" i="10"/>
  <c r="G7" i="10"/>
  <c r="B7" i="10"/>
  <c r="K6" i="10"/>
  <c r="G6" i="10"/>
  <c r="B6" i="10"/>
  <c r="K5" i="10"/>
  <c r="G5" i="10"/>
  <c r="B5" i="10"/>
  <c r="G32" i="8"/>
  <c r="I32" i="8" s="1"/>
  <c r="G31" i="8"/>
  <c r="I31" i="8" s="1"/>
  <c r="G30" i="8"/>
  <c r="G29" i="8"/>
  <c r="I29" i="8" s="1"/>
  <c r="G28" i="8"/>
  <c r="I28" i="8" s="1"/>
  <c r="G27" i="8"/>
  <c r="I27" i="8" s="1"/>
  <c r="G26" i="8"/>
  <c r="I26" i="8" s="1"/>
  <c r="G25" i="8"/>
  <c r="I25" i="8" s="1"/>
  <c r="G24" i="8"/>
  <c r="I24" i="8" s="1"/>
  <c r="G23" i="8"/>
  <c r="I23" i="8" s="1"/>
  <c r="G22" i="8"/>
  <c r="I22" i="8" s="1"/>
  <c r="G21" i="8"/>
  <c r="I21" i="8" s="1"/>
  <c r="G20" i="8"/>
  <c r="I20" i="8" s="1"/>
  <c r="G19" i="8"/>
  <c r="G18" i="8"/>
  <c r="I18" i="8" s="1"/>
  <c r="G17" i="8"/>
  <c r="I17" i="8" s="1"/>
  <c r="G16" i="8"/>
  <c r="I16" i="8" s="1"/>
  <c r="G15" i="8"/>
  <c r="I15" i="8" s="1"/>
  <c r="G14" i="8"/>
  <c r="I14" i="8" s="1"/>
  <c r="G13" i="8"/>
  <c r="I13" i="8" s="1"/>
  <c r="G12" i="8"/>
  <c r="I12" i="8" s="1"/>
  <c r="G11" i="8"/>
  <c r="I11" i="8" s="1"/>
  <c r="G10" i="8"/>
  <c r="G9" i="8"/>
  <c r="I9" i="8" s="1"/>
  <c r="G8" i="8"/>
  <c r="G7" i="8"/>
  <c r="I7" i="8" s="1"/>
  <c r="G6" i="8"/>
  <c r="I6" i="8" s="1"/>
  <c r="G5" i="8"/>
  <c r="I5" i="8" s="1"/>
  <c r="G4" i="8"/>
  <c r="I4" i="8" s="1"/>
  <c r="H36" i="5"/>
  <c r="H35" i="5"/>
  <c r="H34" i="5"/>
  <c r="J34" i="5" s="1"/>
  <c r="H33" i="5"/>
  <c r="J33" i="5" s="1"/>
  <c r="H32" i="5"/>
  <c r="J32" i="5" s="1"/>
  <c r="H31" i="5"/>
  <c r="J31" i="5" s="1"/>
  <c r="H30" i="5"/>
  <c r="H29" i="5"/>
  <c r="J29" i="5" s="1"/>
  <c r="H28" i="5"/>
  <c r="J28" i="5" s="1"/>
  <c r="H27" i="5"/>
  <c r="J27" i="5" s="1"/>
  <c r="H26" i="5"/>
  <c r="J26" i="5" s="1"/>
  <c r="H25" i="5"/>
  <c r="J25" i="5" s="1"/>
  <c r="H24" i="5"/>
  <c r="J24" i="5" s="1"/>
  <c r="H23" i="5"/>
  <c r="J23" i="5" s="1"/>
  <c r="H22" i="5"/>
  <c r="J22" i="5" s="1"/>
  <c r="H21" i="5"/>
  <c r="J21" i="5" s="1"/>
  <c r="H20" i="5"/>
  <c r="J20" i="5" s="1"/>
  <c r="H19" i="5"/>
  <c r="H18" i="5"/>
  <c r="H17" i="5"/>
  <c r="H16" i="5"/>
  <c r="H15" i="5"/>
  <c r="H14" i="5"/>
  <c r="H13" i="5"/>
  <c r="H12" i="5"/>
  <c r="H11" i="5"/>
  <c r="H10" i="5"/>
  <c r="H9" i="5"/>
  <c r="H8" i="5"/>
  <c r="H7" i="5"/>
  <c r="H6" i="5"/>
  <c r="H5" i="5"/>
  <c r="H4" i="5"/>
  <c r="J18" i="5"/>
  <c r="J17" i="5"/>
  <c r="J16" i="5"/>
  <c r="J15" i="5"/>
  <c r="J14" i="5"/>
  <c r="J13" i="5"/>
  <c r="J12" i="5"/>
  <c r="J11" i="5"/>
  <c r="J9" i="5"/>
  <c r="J7" i="5"/>
  <c r="J6" i="5"/>
  <c r="J5" i="5"/>
  <c r="J4" i="5"/>
  <c r="L29" i="7"/>
  <c r="L30" i="7" s="1"/>
  <c r="H17" i="10" s="1"/>
  <c r="K29" i="7"/>
  <c r="J29" i="7"/>
  <c r="J30" i="7" s="1"/>
  <c r="F17" i="10" s="1"/>
  <c r="I29" i="7"/>
  <c r="H29" i="7"/>
  <c r="G29" i="7"/>
  <c r="F29" i="7"/>
  <c r="B16" i="10" s="1"/>
  <c r="E29" i="7"/>
  <c r="E30" i="7" s="1"/>
  <c r="A17" i="10" s="1"/>
  <c r="L11" i="9"/>
  <c r="M11" i="9" s="1"/>
  <c r="L10" i="9"/>
  <c r="M10" i="9" s="1"/>
  <c r="L9" i="9"/>
  <c r="M9" i="9" s="1"/>
  <c r="L8" i="9"/>
  <c r="M8" i="9" s="1"/>
  <c r="L7" i="9"/>
  <c r="M7" i="9" s="1"/>
  <c r="L6" i="9"/>
  <c r="M6" i="9" s="1"/>
  <c r="L5" i="9"/>
  <c r="M5" i="9" s="1"/>
  <c r="L4" i="9"/>
  <c r="M4" i="9" s="1"/>
  <c r="B11" i="10" s="1"/>
  <c r="I30" i="8"/>
  <c r="I19" i="8"/>
  <c r="I10" i="8"/>
  <c r="I8" i="8"/>
  <c r="N28" i="7"/>
  <c r="O28" i="7" s="1"/>
  <c r="M28" i="7"/>
  <c r="N27" i="7"/>
  <c r="O27" i="7" s="1"/>
  <c r="M27" i="7"/>
  <c r="N26" i="7"/>
  <c r="O26" i="7" s="1"/>
  <c r="M26" i="7"/>
  <c r="N25" i="7"/>
  <c r="O25" i="7" s="1"/>
  <c r="M25" i="7"/>
  <c r="N24" i="7"/>
  <c r="O24" i="7" s="1"/>
  <c r="M24" i="7"/>
  <c r="N23" i="7"/>
  <c r="O23" i="7" s="1"/>
  <c r="M23" i="7"/>
  <c r="N22" i="7"/>
  <c r="O22" i="7" s="1"/>
  <c r="M22" i="7"/>
  <c r="N21" i="7"/>
  <c r="O21" i="7" s="1"/>
  <c r="M21" i="7"/>
  <c r="N20" i="7"/>
  <c r="O20" i="7" s="1"/>
  <c r="M20" i="7"/>
  <c r="N19" i="7"/>
  <c r="O19" i="7" s="1"/>
  <c r="M19" i="7"/>
  <c r="N18" i="7"/>
  <c r="O18" i="7" s="1"/>
  <c r="M18" i="7"/>
  <c r="N17" i="7"/>
  <c r="O17" i="7" s="1"/>
  <c r="M17" i="7"/>
  <c r="N16" i="7"/>
  <c r="O16" i="7" s="1"/>
  <c r="M16" i="7"/>
  <c r="N15" i="7"/>
  <c r="O15" i="7" s="1"/>
  <c r="M15" i="7"/>
  <c r="N14" i="7"/>
  <c r="O14" i="7" s="1"/>
  <c r="M14" i="7"/>
  <c r="N13" i="7"/>
  <c r="O13" i="7" s="1"/>
  <c r="M13" i="7"/>
  <c r="N12" i="7"/>
  <c r="O12" i="7" s="1"/>
  <c r="M12" i="7"/>
  <c r="N11" i="7"/>
  <c r="O11" i="7" s="1"/>
  <c r="M11" i="7"/>
  <c r="N10" i="7"/>
  <c r="O10" i="7" s="1"/>
  <c r="M10" i="7"/>
  <c r="N9" i="7"/>
  <c r="O9" i="7" s="1"/>
  <c r="M9" i="7"/>
  <c r="N8" i="7"/>
  <c r="O8" i="7" s="1"/>
  <c r="M8" i="7"/>
  <c r="N7" i="7"/>
  <c r="O7" i="7" s="1"/>
  <c r="M7" i="7"/>
  <c r="N6" i="7"/>
  <c r="O6" i="7" s="1"/>
  <c r="M6" i="7"/>
  <c r="N5" i="7"/>
  <c r="O5" i="7" s="1"/>
  <c r="M5" i="7"/>
  <c r="N4" i="7"/>
  <c r="O4" i="7" s="1"/>
  <c r="M4" i="7"/>
  <c r="J36" i="5"/>
  <c r="J35" i="5"/>
  <c r="J30" i="5"/>
  <c r="J19" i="5"/>
  <c r="J10" i="5"/>
  <c r="J8" i="5"/>
  <c r="L156" i="4"/>
  <c r="M156" i="4" s="1"/>
  <c r="L155" i="4"/>
  <c r="M155" i="4" s="1"/>
  <c r="L154" i="4"/>
  <c r="M154" i="4" s="1"/>
  <c r="L153" i="4"/>
  <c r="M153" i="4" s="1"/>
  <c r="L152" i="4"/>
  <c r="M152" i="4" s="1"/>
  <c r="L151" i="4"/>
  <c r="M151" i="4" s="1"/>
  <c r="L150" i="4"/>
  <c r="M150" i="4" s="1"/>
  <c r="L149" i="4"/>
  <c r="M149" i="4" s="1"/>
  <c r="L148" i="4"/>
  <c r="M148" i="4" s="1"/>
  <c r="L147" i="4"/>
  <c r="M147" i="4" s="1"/>
  <c r="L146" i="4"/>
  <c r="M146" i="4" s="1"/>
  <c r="L145" i="4"/>
  <c r="M145" i="4" s="1"/>
  <c r="L144" i="4"/>
  <c r="M144" i="4" s="1"/>
  <c r="L143" i="4"/>
  <c r="M143" i="4" s="1"/>
  <c r="L142" i="4"/>
  <c r="M142" i="4" s="1"/>
  <c r="L141" i="4"/>
  <c r="M141" i="4" s="1"/>
  <c r="L140" i="4"/>
  <c r="M140" i="4" s="1"/>
  <c r="L139" i="4"/>
  <c r="M139" i="4" s="1"/>
  <c r="L138" i="4"/>
  <c r="M138" i="4" s="1"/>
  <c r="L137" i="4"/>
  <c r="M137" i="4" s="1"/>
  <c r="L136" i="4"/>
  <c r="M136" i="4" s="1"/>
  <c r="L135" i="4"/>
  <c r="M135" i="4" s="1"/>
  <c r="L134" i="4"/>
  <c r="M134" i="4" s="1"/>
  <c r="L133" i="4"/>
  <c r="M133" i="4" s="1"/>
  <c r="L132" i="4"/>
  <c r="M132" i="4" s="1"/>
  <c r="L131" i="4"/>
  <c r="M131" i="4" s="1"/>
  <c r="L130" i="4"/>
  <c r="M130" i="4" s="1"/>
  <c r="L129" i="4"/>
  <c r="M129" i="4" s="1"/>
  <c r="L128" i="4"/>
  <c r="M128" i="4" s="1"/>
  <c r="L127" i="4"/>
  <c r="M127" i="4" s="1"/>
  <c r="L126" i="4"/>
  <c r="M126" i="4" s="1"/>
  <c r="L125" i="4"/>
  <c r="M125" i="4" s="1"/>
  <c r="L124" i="4"/>
  <c r="M124" i="4" s="1"/>
  <c r="L123" i="4"/>
  <c r="M123" i="4" s="1"/>
  <c r="L122" i="4"/>
  <c r="M122" i="4" s="1"/>
  <c r="L121" i="4"/>
  <c r="M121" i="4" s="1"/>
  <c r="L120" i="4"/>
  <c r="M120" i="4" s="1"/>
  <c r="L119" i="4"/>
  <c r="M119" i="4" s="1"/>
  <c r="L118" i="4"/>
  <c r="M118" i="4" s="1"/>
  <c r="L117" i="4"/>
  <c r="M117" i="4" s="1"/>
  <c r="L116" i="4"/>
  <c r="M116" i="4" s="1"/>
  <c r="L115" i="4"/>
  <c r="M115" i="4" s="1"/>
  <c r="L114" i="4"/>
  <c r="M114" i="4" s="1"/>
  <c r="L113" i="4"/>
  <c r="M113" i="4" s="1"/>
  <c r="L112" i="4"/>
  <c r="M112" i="4" s="1"/>
  <c r="L111" i="4"/>
  <c r="M111" i="4" s="1"/>
  <c r="L110" i="4"/>
  <c r="M110" i="4" s="1"/>
  <c r="L109" i="4"/>
  <c r="M109" i="4" s="1"/>
  <c r="L108" i="4"/>
  <c r="M108" i="4" s="1"/>
  <c r="L107" i="4"/>
  <c r="M107" i="4" s="1"/>
  <c r="L106" i="4"/>
  <c r="M106" i="4" s="1"/>
  <c r="L105" i="4"/>
  <c r="M105" i="4" s="1"/>
  <c r="L104" i="4"/>
  <c r="M104" i="4" s="1"/>
  <c r="L103" i="4"/>
  <c r="M103" i="4" s="1"/>
  <c r="L102" i="4"/>
  <c r="M102" i="4" s="1"/>
  <c r="L101" i="4"/>
  <c r="M101" i="4" s="1"/>
  <c r="L100" i="4"/>
  <c r="M100" i="4" s="1"/>
  <c r="L99" i="4"/>
  <c r="M99" i="4" s="1"/>
  <c r="L98" i="4"/>
  <c r="M98" i="4" s="1"/>
  <c r="L97" i="4"/>
  <c r="M97" i="4" s="1"/>
  <c r="L96" i="4"/>
  <c r="M96" i="4" s="1"/>
  <c r="L95" i="4"/>
  <c r="M95" i="4" s="1"/>
  <c r="L94" i="4"/>
  <c r="M94" i="4" s="1"/>
  <c r="L93" i="4"/>
  <c r="M93" i="4" s="1"/>
  <c r="L92" i="4"/>
  <c r="M92" i="4" s="1"/>
  <c r="L91" i="4"/>
  <c r="M91" i="4" s="1"/>
  <c r="L90" i="4"/>
  <c r="M90" i="4" s="1"/>
  <c r="L89" i="4"/>
  <c r="M89" i="4" s="1"/>
  <c r="L88" i="4"/>
  <c r="M88" i="4" s="1"/>
  <c r="L87" i="4"/>
  <c r="M87" i="4" s="1"/>
  <c r="L86" i="4"/>
  <c r="M86" i="4" s="1"/>
  <c r="L85" i="4"/>
  <c r="M85" i="4" s="1"/>
  <c r="L84" i="4"/>
  <c r="M84" i="4" s="1"/>
  <c r="L83" i="4"/>
  <c r="M83" i="4" s="1"/>
  <c r="L82" i="4"/>
  <c r="M82" i="4" s="1"/>
  <c r="L81" i="4"/>
  <c r="M81" i="4" s="1"/>
  <c r="L80" i="4"/>
  <c r="M80" i="4" s="1"/>
  <c r="L79" i="4"/>
  <c r="M79" i="4" s="1"/>
  <c r="L78" i="4"/>
  <c r="M78" i="4" s="1"/>
  <c r="L77" i="4"/>
  <c r="M77" i="4" s="1"/>
  <c r="L76" i="4"/>
  <c r="M76" i="4" s="1"/>
  <c r="L75" i="4"/>
  <c r="M75" i="4" s="1"/>
  <c r="L74" i="4"/>
  <c r="M74" i="4" s="1"/>
  <c r="L73" i="4"/>
  <c r="M73" i="4" s="1"/>
  <c r="L72" i="4"/>
  <c r="M72" i="4" s="1"/>
  <c r="L71" i="4"/>
  <c r="M71" i="4" s="1"/>
  <c r="L70" i="4"/>
  <c r="M70" i="4" s="1"/>
  <c r="L69" i="4"/>
  <c r="M69" i="4" s="1"/>
  <c r="L68" i="4"/>
  <c r="M68" i="4" s="1"/>
  <c r="L67" i="4"/>
  <c r="M67" i="4" s="1"/>
  <c r="L66" i="4"/>
  <c r="M66" i="4" s="1"/>
  <c r="L65" i="4"/>
  <c r="M65" i="4" s="1"/>
  <c r="L64" i="4"/>
  <c r="M64" i="4" s="1"/>
  <c r="L63" i="4"/>
  <c r="M63" i="4" s="1"/>
  <c r="L62" i="4"/>
  <c r="M62" i="4" s="1"/>
  <c r="L61" i="4"/>
  <c r="M61" i="4" s="1"/>
  <c r="L60" i="4"/>
  <c r="M60" i="4" s="1"/>
  <c r="L59" i="4"/>
  <c r="M59" i="4" s="1"/>
  <c r="L58" i="4"/>
  <c r="M58" i="4" s="1"/>
  <c r="L57" i="4"/>
  <c r="M57" i="4" s="1"/>
  <c r="L56" i="4"/>
  <c r="M56" i="4" s="1"/>
  <c r="L55" i="4"/>
  <c r="M55" i="4" s="1"/>
  <c r="L54" i="4"/>
  <c r="M54" i="4" s="1"/>
  <c r="L53" i="4"/>
  <c r="M53" i="4" s="1"/>
  <c r="L52" i="4"/>
  <c r="M52" i="4" s="1"/>
  <c r="L51" i="4"/>
  <c r="M51" i="4" s="1"/>
  <c r="L50" i="4"/>
  <c r="M50" i="4" s="1"/>
  <c r="L49" i="4"/>
  <c r="M49" i="4" s="1"/>
  <c r="L48" i="4"/>
  <c r="M48" i="4" s="1"/>
  <c r="L47" i="4"/>
  <c r="M47" i="4" s="1"/>
  <c r="L46" i="4"/>
  <c r="M46" i="4" s="1"/>
  <c r="L45" i="4"/>
  <c r="M45" i="4" s="1"/>
  <c r="L44" i="4"/>
  <c r="M44" i="4" s="1"/>
  <c r="L43" i="4"/>
  <c r="M43" i="4" s="1"/>
  <c r="L42" i="4"/>
  <c r="M42" i="4" s="1"/>
  <c r="L41" i="4"/>
  <c r="M41" i="4" s="1"/>
  <c r="L40" i="4"/>
  <c r="M40" i="4" s="1"/>
  <c r="L39" i="4"/>
  <c r="M39" i="4" s="1"/>
  <c r="L38" i="4"/>
  <c r="M38" i="4" s="1"/>
  <c r="L37" i="4"/>
  <c r="M37" i="4" s="1"/>
  <c r="L36" i="4"/>
  <c r="M36" i="4" s="1"/>
  <c r="L35" i="4"/>
  <c r="M35" i="4" s="1"/>
  <c r="L34" i="4"/>
  <c r="M34" i="4" s="1"/>
  <c r="L33" i="4"/>
  <c r="M33" i="4" s="1"/>
  <c r="L32" i="4"/>
  <c r="M32" i="4" s="1"/>
  <c r="L31" i="4"/>
  <c r="M31" i="4" s="1"/>
  <c r="L30" i="4"/>
  <c r="M30" i="4" s="1"/>
  <c r="L29" i="4"/>
  <c r="M29" i="4" s="1"/>
  <c r="L28" i="4"/>
  <c r="M28" i="4" s="1"/>
  <c r="L27" i="4"/>
  <c r="M27" i="4" s="1"/>
  <c r="L26" i="4"/>
  <c r="M26" i="4" s="1"/>
  <c r="L25" i="4"/>
  <c r="M25" i="4" s="1"/>
  <c r="L24" i="4"/>
  <c r="M24" i="4" s="1"/>
  <c r="L23" i="4"/>
  <c r="M23" i="4" s="1"/>
  <c r="L22" i="4"/>
  <c r="M22" i="4" s="1"/>
  <c r="L21" i="4"/>
  <c r="M21" i="4" s="1"/>
  <c r="L20" i="4"/>
  <c r="M20" i="4" s="1"/>
  <c r="L19" i="4"/>
  <c r="M19" i="4" s="1"/>
  <c r="L18" i="4"/>
  <c r="M18" i="4" s="1"/>
  <c r="L17" i="4"/>
  <c r="M17" i="4" s="1"/>
  <c r="L16" i="4"/>
  <c r="M16" i="4" s="1"/>
  <c r="L15" i="4"/>
  <c r="M15" i="4" s="1"/>
  <c r="L14" i="4"/>
  <c r="M14" i="4" s="1"/>
  <c r="L13" i="4"/>
  <c r="M13" i="4" s="1"/>
  <c r="L12" i="4"/>
  <c r="M12" i="4" s="1"/>
  <c r="L11" i="4"/>
  <c r="M11" i="4" s="1"/>
  <c r="L10" i="4"/>
  <c r="M10" i="4" s="1"/>
  <c r="L9" i="4"/>
  <c r="M9" i="4" s="1"/>
  <c r="L8" i="4"/>
  <c r="M8" i="4" s="1"/>
  <c r="L7" i="4"/>
  <c r="L6" i="4"/>
  <c r="M6" i="4" s="1"/>
  <c r="L5" i="4"/>
  <c r="M5" i="4" s="1"/>
  <c r="L4" i="4"/>
  <c r="M4" i="4" s="1"/>
  <c r="L7" i="10" l="1"/>
  <c r="B10" i="10"/>
  <c r="B9" i="10"/>
  <c r="K30" i="7"/>
  <c r="G17" i="10" s="1"/>
  <c r="G16" i="10"/>
  <c r="I30" i="7"/>
  <c r="E17" i="10" s="1"/>
  <c r="E16" i="10"/>
  <c r="H30" i="7"/>
  <c r="D17" i="10" s="1"/>
  <c r="D16" i="10"/>
  <c r="G30" i="7"/>
  <c r="C17" i="10" s="1"/>
  <c r="C16" i="10"/>
  <c r="F16" i="10"/>
  <c r="L6" i="10"/>
  <c r="M7" i="4"/>
  <c r="H7" i="10"/>
  <c r="F30" i="7"/>
  <c r="B17" i="10" s="1"/>
  <c r="H8" i="10"/>
  <c r="L8" i="10"/>
  <c r="H9" i="10"/>
  <c r="L9" i="10"/>
  <c r="L5" i="10"/>
  <c r="H10" i="10"/>
  <c r="H6" i="10"/>
  <c r="H16" i="10"/>
  <c r="A16" i="10"/>
  <c r="H5" i="10"/>
</calcChain>
</file>

<file path=xl/sharedStrings.xml><?xml version="1.0" encoding="utf-8"?>
<sst xmlns="http://schemas.openxmlformats.org/spreadsheetml/2006/main" count="2827" uniqueCount="952">
  <si>
    <t>Excel-шаблон анализа конкурентов по сайтам</t>
  </si>
  <si>
    <t>Раздел</t>
  </si>
  <si>
    <t>Что делать</t>
  </si>
  <si>
    <t>Результат</t>
  </si>
  <si>
    <t>1. Реестр конкурентов</t>
  </si>
  <si>
    <t>2. Карта сайта</t>
  </si>
  <si>
    <t>3. Модель Левитта</t>
  </si>
  <si>
    <t>4. Модель Кано</t>
  </si>
  <si>
    <t>5. Сравнение</t>
  </si>
  <si>
    <t>6. Рыночный стандарт</t>
  </si>
  <si>
    <t>7. Преимущества</t>
  </si>
  <si>
    <t>8. Итоговая формулировка товара</t>
  </si>
  <si>
    <t>Шкалы оценки</t>
  </si>
  <si>
    <t>Шкала</t>
  </si>
  <si>
    <t>0</t>
  </si>
  <si>
    <t>1</t>
  </si>
  <si>
    <t>2</t>
  </si>
  <si>
    <t>3</t>
  </si>
  <si>
    <t>4</t>
  </si>
  <si>
    <t>5</t>
  </si>
  <si>
    <t>Когда применять</t>
  </si>
  <si>
    <t>Интерпретация</t>
  </si>
  <si>
    <t>Наличие признака</t>
  </si>
  <si>
    <t>Нет</t>
  </si>
  <si>
    <t>Есть частично</t>
  </si>
  <si>
    <t>Есть явно</t>
  </si>
  <si>
    <t>Есть полно</t>
  </si>
  <si>
    <t>Для бинарных и полуколичественных признаков</t>
  </si>
  <si>
    <t>Сила реализации</t>
  </si>
  <si>
    <t>Слабая</t>
  </si>
  <si>
    <t>Средняя</t>
  </si>
  <si>
    <t>Сильная</t>
  </si>
  <si>
    <t>Для уровня Левитта и качества функции</t>
  </si>
  <si>
    <t>Пользовательская ценность</t>
  </si>
  <si>
    <t>Низкая</t>
  </si>
  <si>
    <t>Умеренная</t>
  </si>
  <si>
    <t>Высокая</t>
  </si>
  <si>
    <t>Очень высокая</t>
  </si>
  <si>
    <t>Критическая</t>
  </si>
  <si>
    <t>Для оценки влияния на решение о покупке/регистрации/использовании</t>
  </si>
  <si>
    <t>Сравнение конкурентов</t>
  </si>
  <si>
    <t>Очень слабо</t>
  </si>
  <si>
    <t>Слабо</t>
  </si>
  <si>
    <t>Средне</t>
  </si>
  <si>
    <t>Сильно</t>
  </si>
  <si>
    <t>Лучший уровень</t>
  </si>
  <si>
    <t>Для листа «06_Сравнение»</t>
  </si>
  <si>
    <t>01. Реестр конкурентов и сайтов</t>
  </si>
  <si>
    <t>ID</t>
  </si>
  <si>
    <t>Наименование конкурента</t>
  </si>
  <si>
    <t>Сайт</t>
  </si>
  <si>
    <t>Страна/рынок</t>
  </si>
  <si>
    <t>Тип конкурента</t>
  </si>
  <si>
    <t>Сегмент аудитории</t>
  </si>
  <si>
    <t>Модель монетизации</t>
  </si>
  <si>
    <t>Цифровой товар по сайту</t>
  </si>
  <si>
    <t>Приоритет анализа</t>
  </si>
  <si>
    <t>Статус</t>
  </si>
  <si>
    <t>Комментарий</t>
  </si>
  <si>
    <t>C01</t>
  </si>
  <si>
    <t>C02</t>
  </si>
  <si>
    <t>C03</t>
  </si>
  <si>
    <t>C04</t>
  </si>
  <si>
    <t>C05</t>
  </si>
  <si>
    <t>C06</t>
  </si>
  <si>
    <t>C07</t>
  </si>
  <si>
    <t>C08</t>
  </si>
  <si>
    <t>02. Карта страниц сайта конкурента</t>
  </si>
  <si>
    <t>ID конкурента</t>
  </si>
  <si>
    <t>Раздел/страница</t>
  </si>
  <si>
    <t>URL</t>
  </si>
  <si>
    <t>Тип страницы</t>
  </si>
  <si>
    <t>Цель анализа</t>
  </si>
  <si>
    <t>Что извлекаем</t>
  </si>
  <si>
    <t>Дата просмотра</t>
  </si>
  <si>
    <t>Скриншот/архив</t>
  </si>
  <si>
    <t>Достоверность 1–5</t>
  </si>
  <si>
    <t>Краткий вывод</t>
  </si>
  <si>
    <t>03. Анализ цифрового товара по модели Левитта</t>
  </si>
  <si>
    <t>Товар/предложение</t>
  </si>
  <si>
    <t>URL/страница</t>
  </si>
  <si>
    <t>Уровень товара по Левитту</t>
  </si>
  <si>
    <t>Элемент товара / признак</t>
  </si>
  <si>
    <t>Как проявлен на сайте</t>
  </si>
  <si>
    <t>Доказательство</t>
  </si>
  <si>
    <t>Наличие 0/1</t>
  </si>
  <si>
    <t>Сила реализации 0–3</t>
  </si>
  <si>
    <t>Понятность 0–3</t>
  </si>
  <si>
    <t>Влияние на ценность 1–5</t>
  </si>
  <si>
    <t>Оценка признака</t>
  </si>
  <si>
    <t>Роль признака</t>
  </si>
  <si>
    <t>Примечание</t>
  </si>
  <si>
    <t>04. Классификация признаков по модели Кано</t>
  </si>
  <si>
    <t>ID требования</t>
  </si>
  <si>
    <t>Функция / признак товара</t>
  </si>
  <si>
    <t>Пользовательская задача</t>
  </si>
  <si>
    <t>Доказательства с сайтов</t>
  </si>
  <si>
    <t>Категория Кано</t>
  </si>
  <si>
    <t>Вес 1–5</t>
  </si>
  <si>
    <t>Кол-во конкурентов с признаком</t>
  </si>
  <si>
    <t>Доля конкурентов</t>
  </si>
  <si>
    <t>Средняя сила реализации 0–5</t>
  </si>
  <si>
    <t>Решение для своего товара</t>
  </si>
  <si>
    <t>Ответственный</t>
  </si>
  <si>
    <t>R001</t>
  </si>
  <si>
    <t>R002</t>
  </si>
  <si>
    <t>R003</t>
  </si>
  <si>
    <t>R004</t>
  </si>
  <si>
    <t>R005</t>
  </si>
  <si>
    <t>R006</t>
  </si>
  <si>
    <t>R007</t>
  </si>
  <si>
    <t>R008</t>
  </si>
  <si>
    <t>R009</t>
  </si>
  <si>
    <t>R010</t>
  </si>
  <si>
    <t>R011</t>
  </si>
  <si>
    <t>R012</t>
  </si>
  <si>
    <t>R013</t>
  </si>
  <si>
    <t>R014</t>
  </si>
  <si>
    <t>R015</t>
  </si>
  <si>
    <t>R016</t>
  </si>
  <si>
    <t>R017</t>
  </si>
  <si>
    <t>R018</t>
  </si>
  <si>
    <t>R019</t>
  </si>
  <si>
    <t>R020</t>
  </si>
  <si>
    <t>R021</t>
  </si>
  <si>
    <t>R022</t>
  </si>
  <si>
    <t>R023</t>
  </si>
  <si>
    <t>R024</t>
  </si>
  <si>
    <t>R025</t>
  </si>
  <si>
    <t>R026</t>
  </si>
  <si>
    <t>R027</t>
  </si>
  <si>
    <t>R028</t>
  </si>
  <si>
    <t>R029</t>
  </si>
  <si>
    <t>R030</t>
  </si>
  <si>
    <t>R031</t>
  </si>
  <si>
    <t>R032</t>
  </si>
  <si>
    <t>R033</t>
  </si>
  <si>
    <t>05. Определение цифрового товара</t>
  </si>
  <si>
    <t>Блок определения</t>
  </si>
  <si>
    <t>Вопрос для анализа</t>
  </si>
  <si>
    <t>Вывод по рынку</t>
  </si>
  <si>
    <t>Доказательства</t>
  </si>
  <si>
    <t>Связь с Левиттом</t>
  </si>
  <si>
    <t>Связь с Кано</t>
  </si>
  <si>
    <t>Статус для своего товара</t>
  </si>
  <si>
    <t>Минимальная реализация</t>
  </si>
  <si>
    <t>Расширенная реализация</t>
  </si>
  <si>
    <t>Риск исключения</t>
  </si>
  <si>
    <t>Решение</t>
  </si>
  <si>
    <t>Целевая пользовательская задача</t>
  </si>
  <si>
    <t>Какую основную задачу обещает решить товар?</t>
  </si>
  <si>
    <t>1. Базовая выгода</t>
  </si>
  <si>
    <t>Обязательное / Линейное</t>
  </si>
  <si>
    <t>Пользовательский сегмент</t>
  </si>
  <si>
    <t>Для кого товар явно предназначен по сайту конкурентов?</t>
  </si>
  <si>
    <t>Линейное</t>
  </si>
  <si>
    <t>Родовой товар</t>
  </si>
  <si>
    <t>Какой минимальный цифровой объект продается: сервис, приложение, платформа, курс, кабинет, база данных, подписка?</t>
  </si>
  <si>
    <t>2. Родовой товар</t>
  </si>
  <si>
    <t>Обязательное</t>
  </si>
  <si>
    <t>Ожидаемый состав</t>
  </si>
  <si>
    <t>Какие функции пользователь считает нормой рынка?</t>
  </si>
  <si>
    <t>3. Ожидаемый товар</t>
  </si>
  <si>
    <t>Интерфейс и доступ</t>
  </si>
  <si>
    <t>Как организован доступ: сайт, приложение, личный кабинет, мобильная версия, интеграции?</t>
  </si>
  <si>
    <t>Оплата и тарифы</t>
  </si>
  <si>
    <t>Какой способ оплаты и представления тарифов является нормой?</t>
  </si>
  <si>
    <t>Поддержка и сопровождение</t>
  </si>
  <si>
    <t>Какой уровень поддержки включен в товар?</t>
  </si>
  <si>
    <t>Расширение ценности</t>
  </si>
  <si>
    <t>Какие дополнительные функции повышают ценность: персонализация, аналитика, рекомендации, автоматизация?</t>
  </si>
  <si>
    <t>4. Расширенный товар</t>
  </si>
  <si>
    <t>Линейное / Привлекательное</t>
  </si>
  <si>
    <t>Доверие и доказательства</t>
  </si>
  <si>
    <t>Какие элементы подтверждают надежность: кейсы, отзывы, сертификаты, политика безопасности, гарантии?</t>
  </si>
  <si>
    <t>Потенциальное развитие</t>
  </si>
  <si>
    <t>Какие будущие возможности видны по дорожной карте, интеграциям, пробным функциям, технологиям?</t>
  </si>
  <si>
    <t>5. Потенциальный товар</t>
  </si>
  <si>
    <t>Привлекательное</t>
  </si>
  <si>
    <t>Граница товара</t>
  </si>
  <si>
    <t>Что входит в товар, а что остается услугой, сопровождением или маркетинговым обещанием?</t>
  </si>
  <si>
    <t>Все уровни</t>
  </si>
  <si>
    <t>Все категории</t>
  </si>
  <si>
    <t>Формулировка товара</t>
  </si>
  <si>
    <t>Синтез</t>
  </si>
  <si>
    <t>06. Сравнительная оценка конкурентов</t>
  </si>
  <si>
    <t>ID критерия</t>
  </si>
  <si>
    <t>Группа</t>
  </si>
  <si>
    <t>Критерий</t>
  </si>
  <si>
    <t>Вес</t>
  </si>
  <si>
    <t>Среднее</t>
  </si>
  <si>
    <t>Лучший балл</t>
  </si>
  <si>
    <t>Лидер</t>
  </si>
  <si>
    <t>P01</t>
  </si>
  <si>
    <t>Сущность товара</t>
  </si>
  <si>
    <t>На сайте ясно понятно, какой цифровой товар предлагается</t>
  </si>
  <si>
    <t>P02</t>
  </si>
  <si>
    <t>Целевая пользовательская задача сформулирована конкретно</t>
  </si>
  <si>
    <t>P03</t>
  </si>
  <si>
    <t>Граница товара отделена от консультаций, сопровождения и маркетинговых обещаний</t>
  </si>
  <si>
    <t>P04</t>
  </si>
  <si>
    <t>Функциональность</t>
  </si>
  <si>
    <t>Ключевые функции товара раскрыты через сценарии использования</t>
  </si>
  <si>
    <t>P05</t>
  </si>
  <si>
    <t>Есть демонстрация интерфейса, личного кабинета или результата работы</t>
  </si>
  <si>
    <t>P06</t>
  </si>
  <si>
    <t>Есть пробный доступ, демоверсия, бесплатный фрагмент или понятный вход в использование</t>
  </si>
  <si>
    <t>P07</t>
  </si>
  <si>
    <t>Ценность</t>
  </si>
  <si>
    <t>Показана измеримая выгода: экономия времени, денег, снижение риска, рост результата</t>
  </si>
  <si>
    <t>P08</t>
  </si>
  <si>
    <t>Преимущества связаны с функциями товара, а не только с рекламными обещаниями</t>
  </si>
  <si>
    <t>P09</t>
  </si>
  <si>
    <t>Есть сравнение тарифов, комплектаций или уровней доступа</t>
  </si>
  <si>
    <t>P10</t>
  </si>
  <si>
    <t>Доверие</t>
  </si>
  <si>
    <t>Есть отзывы, кейсы, примеры клиентов или подтверждения результата</t>
  </si>
  <si>
    <t>P11</t>
  </si>
  <si>
    <t>Раскрыты безопасность, обработка данных, юридические условия, гарантии</t>
  </si>
  <si>
    <t>P12</t>
  </si>
  <si>
    <t>Есть прозрачные контакты, реквизиты, команда или сведения о поставщике</t>
  </si>
  <si>
    <t>P13</t>
  </si>
  <si>
    <t>Интерфейс</t>
  </si>
  <si>
    <t>Путь пользователя к покупке/регистрации короткий и понятный</t>
  </si>
  <si>
    <t>P14</t>
  </si>
  <si>
    <t>Призыв к действию соответствует стадии выбора: узнать, попробовать, купить, запросить демо</t>
  </si>
  <si>
    <t>P15</t>
  </si>
  <si>
    <t>Навигация помогает понять состав товара без лишнего поиска</t>
  </si>
  <si>
    <t>P16</t>
  </si>
  <si>
    <t>Тарифы и оплата</t>
  </si>
  <si>
    <t>Цена, состав тарифа и ограничения раскрыты ясно</t>
  </si>
  <si>
    <t>P17</t>
  </si>
  <si>
    <t>Оплата, возврат, пробный период или условия подключения объяснены без неопределенности</t>
  </si>
  <si>
    <t>P18</t>
  </si>
  <si>
    <t>Сопровождение</t>
  </si>
  <si>
    <t>Поддержка и обучение встроены в товарное предложение</t>
  </si>
  <si>
    <t>P19</t>
  </si>
  <si>
    <t>Есть база знаний, вопросы и ответы, инструкции или документация</t>
  </si>
  <si>
    <t>P20</t>
  </si>
  <si>
    <t>Расширение товара</t>
  </si>
  <si>
    <t>Есть персонализация, рекомендации, интеграции, автоматизация или аналитика</t>
  </si>
  <si>
    <t>P21</t>
  </si>
  <si>
    <t>Есть признаки будущего развития товара: дорожная карта, обновления, новые функции</t>
  </si>
  <si>
    <t>P22</t>
  </si>
  <si>
    <t>Дифференциация</t>
  </si>
  <si>
    <t>Есть уникальные или редкие товарные признаки</t>
  </si>
  <si>
    <t>P23</t>
  </si>
  <si>
    <t>Отличия хорошо объяснены через пользовательскую ценность</t>
  </si>
  <si>
    <t>P24</t>
  </si>
  <si>
    <t>Рыночный стандарт</t>
  </si>
  <si>
    <t>На сайте закрыты обязательные требования категории</t>
  </si>
  <si>
    <t>P25</t>
  </si>
  <si>
    <t>Предложение не уступает большинству конкурентов по базовым ожиданиям</t>
  </si>
  <si>
    <t>Итоговый взвешенный балл</t>
  </si>
  <si>
    <t>07. Определение рыночного стандарта</t>
  </si>
  <si>
    <t>ID признака</t>
  </si>
  <si>
    <t>Признак / требование</t>
  </si>
  <si>
    <t>Источник</t>
  </si>
  <si>
    <t>Уровень Левитта</t>
  </si>
  <si>
    <t>Кол-во конкурентов</t>
  </si>
  <si>
    <t>Средняя сила 0–5</t>
  </si>
  <si>
    <t>Минимальная формулировка стандарта</t>
  </si>
  <si>
    <t>Что проверить дополнительно</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</si>
  <si>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</si>
  <si>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</si>
  <si>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</si>
  <si>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</si>
  <si>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</si>
  <si>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</si>
  <si>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</si>
  <si>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</si>
  <si>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</si>
  <si>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</si>
  <si>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</si>
  <si>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</si>
  <si>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</si>
  <si>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</si>
  <si>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</si>
  <si>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</si>
  <si>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</si>
  <si>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</si>
  <si>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</si>
  <si>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</si>
  <si>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</si>
  <si>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</si>
  <si>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</si>
  <si>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</si>
  <si>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</si>
  <si>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</si>
  <si>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</si>
  <si>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</si>
  <si>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</si>
  <si>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08. Выявление конкурентных преимуществ по товару</t>
  </si>
  <si>
    <t>Признак преимущества</t>
  </si>
  <si>
    <t>Доказательство / URL</t>
  </si>
  <si>
    <t>Тип преимущества</t>
  </si>
  <si>
    <t>Редкость 1–5</t>
  </si>
  <si>
    <t>Сила 1–5</t>
  </si>
  <si>
    <t>Пользовательская ценность 1–5</t>
  </si>
  <si>
    <t>Качество доказательства 1–5</t>
  </si>
  <si>
    <t>Индекс преимущества</t>
  </si>
  <si>
    <t>Вывод</t>
  </si>
  <si>
    <t>Как использовать для своего товара</t>
  </si>
  <si>
    <t>A001</t>
  </si>
  <si>
    <t>A002</t>
  </si>
  <si>
    <t>A003</t>
  </si>
  <si>
    <t>A004</t>
  </si>
  <si>
    <t>A005</t>
  </si>
  <si>
    <t>A006</t>
  </si>
  <si>
    <t>A007</t>
  </si>
  <si>
    <t>A008</t>
  </si>
  <si>
    <t>09. Дашборд анализа цифрового товара</t>
  </si>
  <si>
    <t>Показатель</t>
  </si>
  <si>
    <t>Значение</t>
  </si>
  <si>
    <t>Норма контроля</t>
  </si>
  <si>
    <t>Количество</t>
  </si>
  <si>
    <t>Доля</t>
  </si>
  <si>
    <t>Кол-во признаков</t>
  </si>
  <si>
    <t>Средняя оценка</t>
  </si>
  <si>
    <t>Конкурентов в анализе</t>
  </si>
  <si>
    <t>5–12</t>
  </si>
  <si>
    <t>Проверенных страниц</t>
  </si>
  <si>
    <t>30+</t>
  </si>
  <si>
    <t>Признаков по Левитту</t>
  </si>
  <si>
    <t>40+</t>
  </si>
  <si>
    <t>Требований по Кано</t>
  </si>
  <si>
    <t>25+</t>
  </si>
  <si>
    <t>Безразличное</t>
  </si>
  <si>
    <t>Рыночных стандартов</t>
  </si>
  <si>
    <t>по факту</t>
  </si>
  <si>
    <t>Обратное</t>
  </si>
  <si>
    <t>Зон дифференциации</t>
  </si>
  <si>
    <t>Неясное</t>
  </si>
  <si>
    <t>Сильных преимуществ</t>
  </si>
  <si>
    <t>Итоговые баллы конкурентов</t>
  </si>
  <si>
    <t>Итоговые управленческие выводы</t>
  </si>
  <si>
    <t>1. Минимальный состав цифрового товара</t>
  </si>
  <si>
    <t>2. Признаки, которые нельзя игнорировать</t>
  </si>
  <si>
    <t>3. Главные зоны дифференциации</t>
  </si>
  <si>
    <t>4. Лучшие практики конкурентов</t>
  </si>
  <si>
    <t>5. Риски копирования конкурентов без проверки спроса</t>
  </si>
  <si>
    <t>99. Справочники для заполнения</t>
  </si>
  <si>
    <t>Справочник</t>
  </si>
  <si>
    <t>Пояснение</t>
  </si>
  <si>
    <t>Уровни Левитта</t>
  </si>
  <si>
    <t>Категории Кано</t>
  </si>
  <si>
    <t>Типы преимуществ</t>
  </si>
  <si>
    <t>Функциональное</t>
  </si>
  <si>
    <t>Экономическое</t>
  </si>
  <si>
    <t>Интерфейсное</t>
  </si>
  <si>
    <t>Сервисное</t>
  </si>
  <si>
    <t>Доверительное</t>
  </si>
  <si>
    <t>Данные и аналитика</t>
  </si>
  <si>
    <t>Сетевой эффект</t>
  </si>
  <si>
    <t>Интеграционное</t>
  </si>
  <si>
    <t>Контентное</t>
  </si>
  <si>
    <t>PlantUML</t>
  </si>
  <si>
    <t>plantuml.com</t>
  </si>
  <si>
    <t>Весь мир (английский язык)</t>
  </si>
  <si>
    <t>Прямой конкурент</t>
  </si>
  <si>
    <t>Разработчики, студенты, архитекторы ПО</t>
  </si>
  <si>
    <t>Бесплатно, открытый код</t>
  </si>
  <si>
    <t>Построение UML-диаграмм из текстового описания, экспорт PNG, LaTeX, EPS, SVG. Главная страница: «Open-source tool that uses simple textual descriptions to draw beautiful UML diagrams»</t>
  </si>
  <si>
    <t>Высокий</t>
  </si>
  <si>
    <t>Выборка из части A (поле «Переходит в части B и C»); страницы просмотрены 01.10.2026</t>
  </si>
  <si>
    <t>Mermaid (библиотека)</t>
  </si>
  <si>
    <t>mermaid.js.org</t>
  </si>
  <si>
    <t>Близкий альтернативный конкурент</t>
  </si>
  <si>
    <t>Разработчики, авторы технической документации</t>
  </si>
  <si>
    <t>Бесплатно, открытый код (MIT); платные планы у Mermaid Chart</t>
  </si>
  <si>
    <t>Диаграммы и визуализации из текста и кода (JavaScript-библиотека). Главная страница: «Create diagrams and visualizations using text and code»</t>
  </si>
  <si>
    <t>Mermaid Chart</t>
  </si>
  <si>
    <t>mermaidchart.com</t>
  </si>
  <si>
    <t>Весь мир (США, Великобритания, Япония в топ-странах)</t>
  </si>
  <si>
    <t>Команды разработки и документации</t>
  </si>
  <si>
    <t>Облачный редактор диаграмм Mermaid с тарифами Free, Plus, Premium. Главная страница: «Create diagrams, flowcharts, and documentation with Mermaid»; «You already think in systems»</t>
  </si>
  <si>
    <t>Storm (StormBPMN)</t>
  </si>
  <si>
    <t>stormbpmn.com</t>
  </si>
  <si>
    <t>Россия и СНГ (Россия 62,99 %, Беларусь 2,49 %)</t>
  </si>
  <si>
    <t>Смежная или потенциальная конкуренция</t>
  </si>
  <si>
    <t>Процессные аналитики, русскоязычный рынок</t>
  </si>
  <si>
    <t>Условно-бесплатная: Персональный бесплатно, Команда, Бизнес, Enterprise on-prem (руб.)</t>
  </si>
  <si>
    <t>Платформа из семи модулей: редактор, реестр, архитектура, оргструктура, опросы, ИИ, симуляция. Главная страница: «Соберите все процессы компании»; «Одна платформа - девять модулей процессного управления»</t>
  </si>
  <si>
    <t>Средний</t>
  </si>
  <si>
    <t>draw.io (diagrams.net)</t>
  </si>
  <si>
    <t>app.diagrams.net</t>
  </si>
  <si>
    <t>Весь мир (США, Индонезия, Индия, Китай, Россия)</t>
  </si>
  <si>
    <t>Косвенный конкурент / заменитель</t>
  </si>
  <si>
    <t>Студенты, разработчики, команды</t>
  </si>
  <si>
    <t>Бесплатно, открытый код (Apache 2.0)</t>
  </si>
  <si>
    <t>Бесплатный онлайн-редактор блок-схем, UML, ER и других диаграмм. Главная страница: «Security-first diagramming for teams»; «Free, open source diagramming application with 100M+ users»</t>
  </si>
  <si>
    <t>Lucidchart</t>
  </si>
  <si>
    <t>lucidchart.com</t>
  </si>
  <si>
    <t>Весь мир (США, Мексика, Бразилия в топ-странах)</t>
  </si>
  <si>
    <t>Команды, бизнес-пользователи</t>
  </si>
  <si>
    <t>Облачный редактор диаграмм с тарифами Free, Individual, Team, Enterprise. Главная страница: «Diagramming powered by intelligence»: диаграммы с ИИ, данными и автоматизацией</t>
  </si>
  <si>
    <t>Eraser</t>
  </si>
  <si>
    <t>eraser.io</t>
  </si>
  <si>
    <t>Весь мир</t>
  </si>
  <si>
    <t>Инженерные команды, разработчики</t>
  </si>
  <si>
    <t>Создание технических диаграмм с помощью ИИ. Главная страница: «AI for diagrams that matter»; «Create technical diagrams using AI»</t>
  </si>
  <si>
    <t>Whimsical</t>
  </si>
  <si>
    <t>whimsical.com</t>
  </si>
  <si>
    <t>Команды продуктов</t>
  </si>
  <si>
    <t>Редактор диаграмм, схем интерфейсов и документов; тарифы Free, Pro, Business (страница тарифов, 01.10.2026). Главная страница: «The whiteboard for product builders»: диаграммы, схемы интерфейсов, документы</t>
  </si>
  <si>
    <t>Низкий</t>
  </si>
  <si>
    <t>Главная</t>
  </si>
  <si>
    <t>https://plantuml.com/</t>
  </si>
  <si>
    <t>Определить обещание и состав товара</t>
  </si>
  <si>
    <t>Заголовок, разделы, тарифы, ключевые признаки</t>
  </si>
  <si>
    <t>Текст страницы, запрос 01.10.2026</t>
  </si>
  <si>
    <t>Заголовок: Open-source tool that uses simple textual descriptions to draw beautif. Признаки в тексте: integr, export, uml, erd</t>
  </si>
  <si>
    <t>Документация</t>
  </si>
  <si>
    <t>https://plantuml.com/faq</t>
  </si>
  <si>
    <t>Глубина документации, поддержка нотаций</t>
  </si>
  <si>
    <t>Заголовок: Frequently Asked Questions. Признаки в тексте: free, integr, export, uml</t>
  </si>
  <si>
    <t>https://plantuml.com/running</t>
  </si>
  <si>
    <t>Заголовок отсутствует. Признаки в тексте: integr, api, export, uml</t>
  </si>
  <si>
    <t>https://plantuml.com/download</t>
  </si>
  <si>
    <t>Заголовок отсутствует. Признаки в тексте: integr, uml</t>
  </si>
  <si>
    <t>https://plantuml.com/class-diagram</t>
  </si>
  <si>
    <t>Заголовок: Class Diagram syntax and features. Признаки в тексте: integr, security, uml</t>
  </si>
  <si>
    <t>https://plantuml.com/ie-diagram</t>
  </si>
  <si>
    <t>Заголовок: Information Engineering diagram syntax and features. Признаки в тексте: integr, erd</t>
  </si>
  <si>
    <t>https://plantuml.com/activity-diagram-beta</t>
  </si>
  <si>
    <t>Заголовок: New Activity Diagram Beta syntax and features. Признаки в тексте: integr, templates, security, uml</t>
  </si>
  <si>
    <t>Репозиторий GitHub</t>
  </si>
  <si>
    <t>https://github.com/plantuml/plantuml</t>
  </si>
  <si>
    <t>Сообщество</t>
  </si>
  <si>
    <t>Открытый код, лицензия, активность</t>
  </si>
  <si>
    <t>GitHub API, ЛР4</t>
  </si>
  <si>
    <t>https://mermaid.js.org/</t>
  </si>
  <si>
    <t>Заголовок: Mermaid | Diagramming and charting tool. Признаки в тексте: ai, integr</t>
  </si>
  <si>
    <t>https://mermaid.js.org/intro/</t>
  </si>
  <si>
    <t>Заголовок: About Mermaid | Mermaid. Признаки в тексте: ai, collab, integr, api, security, erd</t>
  </si>
  <si>
    <t>https://mermaid.js.org/intro/getting-started.html</t>
  </si>
  <si>
    <t>Заголовок: Mermaid User Guide | Mermaid. Признаки в тексте: free, ai, collab, integr, api, export</t>
  </si>
  <si>
    <t>Интеграции</t>
  </si>
  <si>
    <t>https://mermaid.js.org/ecosystem/integrations-community.html</t>
  </si>
  <si>
    <t>Интеграции и экосистема</t>
  </si>
  <si>
    <t>Заголовок: Integrations | Mermaid. Признаки в тексте: ai, integr, api, export, security, uml</t>
  </si>
  <si>
    <t>https://mermaid.js.org/syntax/classDiagram.html</t>
  </si>
  <si>
    <t>Заголовок: Class diagrams | Mermaid. Признаки в тексте: ai, integr, api, security, uml, erd</t>
  </si>
  <si>
    <t>https://mermaid.js.org/syntax/entityRelationshipDiagram.html</t>
  </si>
  <si>
    <t>Заголовок: Entity Relationship Diagrams | Mermaid. Признаки в тексте: ai, integr, api, security, erd</t>
  </si>
  <si>
    <t>https://mermaid.js.org/syntax/flowchart.html</t>
  </si>
  <si>
    <t>Заголовок: Flowcharts Syntax | Mermaid. Признаки в тексте: ai, integr, api, security, erd</t>
  </si>
  <si>
    <t>https://github.com/mermaid-js/mermaid</t>
  </si>
  <si>
    <t>https://github.com/mermaid-js/mermaid-live-editor</t>
  </si>
  <si>
    <t>https://mermaid.ai/</t>
  </si>
  <si>
    <t>Заголовок: Mermaid. Признаки в тексте: free, pricing, ai, collab, integr, api</t>
  </si>
  <si>
    <t>https://mermaid.ai/docs/guides/intro</t>
  </si>
  <si>
    <t>Тарифы</t>
  </si>
  <si>
    <t>https://mermaid.ai/pricing/</t>
  </si>
  <si>
    <t>Состав тарифов и условия оплаты</t>
  </si>
  <si>
    <t>Просмотр во встроенном браузере</t>
  </si>
  <si>
    <t>https://stormbpmn.com/</t>
  </si>
  <si>
    <t>https://stormbpmn.com/pricing</t>
  </si>
  <si>
    <t>Заголовок: Все о тарифах Stormbpmn: Team, Business, Enterprise. Признаки в тексте: ai, api, security, bpmn</t>
  </si>
  <si>
    <t>Блог и обновления</t>
  </si>
  <si>
    <t>https://stormbpmn.com/blog</t>
  </si>
  <si>
    <t>Развитие продукта и контент</t>
  </si>
  <si>
    <t>Заголовок: Блог о бизнес-процессах, BPMN и Camunda. Признаки в тексте: ai, uml, bpmn</t>
  </si>
  <si>
    <t>https://www.drawio.com/</t>
  </si>
  <si>
    <t>Заголовок: Security-first diagramming for teams | draw.io. Признаки в тексте: free, pricing, collab, integr, export, security</t>
  </si>
  <si>
    <t>https://www.drawio.com/blog/</t>
  </si>
  <si>
    <t>Заголовок: Blog | draw.io. Признаки в тексте: free, ai, collab, integr, api, export</t>
  </si>
  <si>
    <t>https://github.com/jgraph/drawio</t>
  </si>
  <si>
    <t>https://github.com/jgraph/drawio-desktop</t>
  </si>
  <si>
    <t>https://lucid.co/lucidchart</t>
  </si>
  <si>
    <t>Главная: «Diagramming powered by intelligence»; ИИ, шаблоны, интеграции</t>
  </si>
  <si>
    <t>https://lucid.app/pricing/lucidchart</t>
  </si>
  <si>
    <t>https://www.eraser.io/</t>
  </si>
  <si>
    <t>Заголовок: Eraser – AI for diagrams that matter. Признаки в тексте: free, pricing, ai, integr, api, export</t>
  </si>
  <si>
    <t>https://www.eraser.io/pricing</t>
  </si>
  <si>
    <t>Заголовок: Pricing – Eraser. Признаки в тексте: free, pricing, ai, collab, integr, api</t>
  </si>
  <si>
    <t>ИИ-функции</t>
  </si>
  <si>
    <t>https://www.eraser.io/ai</t>
  </si>
  <si>
    <t>ИИ-функции товара</t>
  </si>
  <si>
    <t>Заголовок: Eraser AI. Признаки в тексте: free, pricing, ai, collab, integr, api</t>
  </si>
  <si>
    <t>https://www.eraser.io/diagramgpt</t>
  </si>
  <si>
    <t>Заголовок: DiagramGPT – AI diagram generator created by Eraser. Признаки в тексте: free, pricing, ai, integr, api, export</t>
  </si>
  <si>
    <t>https://docs.eraser.io/</t>
  </si>
  <si>
    <t>Заголовок: Eraser docs. Признаки в тексте: pricing, ai, collab, integr, api, export</t>
  </si>
  <si>
    <t>https://whimsical.com/</t>
  </si>
  <si>
    <t>https://whimsical.com/pricing</t>
  </si>
  <si>
    <t>Заголовок: Whimsical Pricing - Free &amp; Paid Plans. Признаки в тексте: free, pricing, ai, collab, integr, export</t>
  </si>
  <si>
    <t>Безопасность</t>
  </si>
  <si>
    <t>https://whimsical.com/company/security</t>
  </si>
  <si>
    <t>Безопасность и приватность</t>
  </si>
  <si>
    <t>Заголовок: Security | Whimsical. Признаки в тексте: free, pricing, ai, integr, templates, security</t>
  </si>
  <si>
    <t>Шаблоны</t>
  </si>
  <si>
    <t>https://whimsical.com/templates</t>
  </si>
  <si>
    <t>Шаблоны и готовые образцы</t>
  </si>
  <si>
    <t>Заголовок: Templates - Whimsical. Признаки в тексте: free, pricing, ai, integr, templates, security</t>
  </si>
  <si>
    <t>https://whimsical.com/ai</t>
  </si>
  <si>
    <t>Заголовок: Whimsical AI. Признаки в тексте: free, pricing, ai, integr, templates, security</t>
  </si>
  <si>
    <t>https://whimsical.com/diagrams</t>
  </si>
  <si>
    <t>Заголовок: Whimsical Diagrams, Flowcharts, and Mind Maps. Признаки в тексте: free, pricing, ai, collab, integr, templates</t>
  </si>
  <si>
    <t>Основное обещание главной страницы</t>
  </si>
  <si>
    <t>«Open-source tool that uses simple textual descriptions to draw beautiful UML diagrams»</t>
  </si>
  <si>
    <t>Главная страница, просмотр 01.10.2026</t>
  </si>
  <si>
    <t>Форма поставки товара</t>
  </si>
  <si>
    <t>Текстовый DSL, открытый код: Построение UML-диаграмм из текстового описания, экспорт PNG, LaTeX, EPS, SVG</t>
  </si>
  <si>
    <t>Страницы сайта, ЛР1 табл. 42, ЛР4</t>
  </si>
  <si>
    <t>Описание диаграммы текстом (DSL)</t>
  </si>
  <si>
    <t>Признак найден на просмотренных страницах: описание диаграммы текстом (dsl)</t>
  </si>
  <si>
    <t>Страницы сайта, просмотр 01.10.2026</t>
  </si>
  <si>
    <t>Бесплатный доступ или Free-тариф</t>
  </si>
  <si>
    <t>Открытый код; раздел лицензирования на странице загрузки</t>
  </si>
  <si>
    <t>Интеграции с другими сервисами</t>
  </si>
  <si>
    <t>Признак найден на просмотренных страницах: интеграции с другими сервисами</t>
  </si>
  <si>
    <t>Открытый код и сообщество</t>
  </si>
  <si>
    <t>Признак найден на просмотренных страницах: открытый код и сообщество</t>
  </si>
  <si>
    <t>Независимые отзывы и оценки</t>
  </si>
  <si>
    <t>Признак найден на просмотренных страницах: независимые отзывы и оценки</t>
  </si>
  <si>
    <t>Экспорт диаграмм (PNG, SVG, PDF и др.)</t>
  </si>
  <si>
    <t>Признак найден на просмотренных страницах: экспорт диаграмм (png, svg, pdf и др.)</t>
  </si>
  <si>
    <t>Документация и руководства</t>
  </si>
  <si>
    <t>Признак найден на просмотренных страницах: документация и руководства</t>
  </si>
  <si>
    <t>Диаграммы UML</t>
  </si>
  <si>
    <t>Признак найден на просмотренных страницах: диаграммы uml</t>
  </si>
  <si>
    <t>Диаграммы ERD</t>
  </si>
  <si>
    <t>Признак найден на просмотренных страницах: диаграммы erd</t>
  </si>
  <si>
    <t>Настольное приложение</t>
  </si>
  <si>
    <t>Признак найден на просмотренных страницах: настольное приложение</t>
  </si>
  <si>
    <t>«Create diagrams and visualizations using text and code»</t>
  </si>
  <si>
    <t>Текстовый DSL, открытый код: Диаграммы и визуализации из текста и кода (JavaScript-библиотека)</t>
  </si>
  <si>
    <t>Открытый код (MIT); платные планы вынесены в Mermaid Chart</t>
  </si>
  <si>
    <t>API или платформа разработчика</t>
  </si>
  <si>
    <t>Признак найден на просмотренных страницах: api или платформа разработчика</t>
  </si>
  <si>
    <t>https://www.mermaidchart.com/</t>
  </si>
  <si>
    <t>«Create diagrams, flowcharts, and documentation with Mermaid»; «You already think in systems»</t>
  </si>
  <si>
    <t>Облачный сервис на основе Mermaid: Облачный редактор диаграмм Mermaid с тарифами Free, Plus, Premium</t>
  </si>
  <si>
    <t>Basic Free: до 6 диаграмм, 15 ИИ-кредитов</t>
  </si>
  <si>
    <t>Платная подписка по тарифным уровням</t>
  </si>
  <si>
    <t>Открытая страница тарифов</t>
  </si>
  <si>
    <t>Признак найден на просмотренных страницах: открытая страница тарифов</t>
  </si>
  <si>
    <t>Корпоративный тариф (Enterprise или on-prem)</t>
  </si>
  <si>
    <t>Признак найден на просмотренных страницах: корпоративный тариф (enterprise или on-prem)</t>
  </si>
  <si>
    <t>Скидка или цена при годовой оплате</t>
  </si>
  <si>
    <t>Признак найден на просмотренных страницах: скидка или цена при годовой оплате</t>
  </si>
  <si>
    <t>Бесплатные гости или зрители</t>
  </si>
  <si>
    <t>Unlimited free viewer seats в Premium</t>
  </si>
  <si>
    <t>ИИ-генерация или ИИ-помощник</t>
  </si>
  <si>
    <t>ИИ-кредиты: 15 (Basic), 300 (Plus), 2 000 в год (Premium)</t>
  </si>
  <si>
    <t>Данные о числе пользователей или клиентов на сайте</t>
  </si>
  <si>
    <t>«trusted by over 5M people and over 200k companies»</t>
  </si>
  <si>
    <t>Раздел или упоминание о безопасности и приватности</t>
  </si>
  <si>
    <t>Признак найден на просмотренных страницах: раздел или упоминание о безопасности и приватности</t>
  </si>
  <si>
    <t>Единый вход SSO или SAML</t>
  </si>
  <si>
    <t>Строка SSO в таблице сравнения (Enterprise)</t>
  </si>
  <si>
    <t>Вход и личный кабинет</t>
  </si>
  <si>
    <t>Признак найден на просмотренных страницах: вход и личный кабинет</t>
  </si>
  <si>
    <t>Совместная работа в реальном времени</t>
  </si>
  <si>
    <t>Признак найден на просмотренных страницах: совместная работа в реальном времени</t>
  </si>
  <si>
    <t>История версий</t>
  </si>
  <si>
    <t>Признак найден на просмотренных страницах: история версий</t>
  </si>
  <si>
    <t>Признаки развития (ИИ-помощник, MCP, новые функции)</t>
  </si>
  <si>
    <t>Признак найден на просмотренных страницах: признаки развития (ии-помощник, mcp, новые функции)</t>
  </si>
  <si>
    <t>«Соберите все процессы компании»; «Одна платформа - девять модулей процессного управления»</t>
  </si>
  <si>
    <t>Платформа процессного управления: Платформа из семи модулей: редактор, реестр, архитектура, оргструктура, опросы, ИИ, симуляция</t>
  </si>
  <si>
    <t>Тариф «Персональный» бесплатно: до 50 моделей, ИИ-помощник безлимитно, делиться процессами 5 раз</t>
  </si>
  <si>
    <t>Команда 1 200 руб. (1 500 руб. помесячно), Бизнес 4 720 руб. (5 900 руб.) за пользователя в месяц</t>
  </si>
  <si>
    <t>Enterprise на сервере заказчика от 990 тыс. руб. в год: on-prem, SSO, API, аудит</t>
  </si>
  <si>
    <t>Скидка 20 % при годовой оплате; для юридических лиц 1 800 руб. и 5 900 руб.</t>
  </si>
  <si>
    <t>100 бесплатных гостей на участника в тарифе «Команда»</t>
  </si>
  <si>
    <t>ИИ-ассистент во всех облачных тарифах, включая бесплатный</t>
  </si>
  <si>
    <t>«Нам доверяют больше 1 000 клиентов»</t>
  </si>
  <si>
    <t>Признак найден на просмотренных страницах: единый вход sso или saml</t>
  </si>
  <si>
    <t>Диаграммы BPMN</t>
  </si>
  <si>
    <t>Признак найден на просмотренных страницах: диаграммы bpmn</t>
  </si>
  <si>
    <t>Русскоязычный интерфейс и тарифы в рублях</t>
  </si>
  <si>
    <t>Тарифы в рублях; Россия 62,99 % трафика (Similarweb Pro)</t>
  </si>
  <si>
    <t>https://app.diagrams.net/</t>
  </si>
  <si>
    <t>«Security-first diagramming for teams»; «Free, open source diagramming application with 100M+ users»</t>
  </si>
  <si>
    <t>Универсальный редактор диаграмм, открытый код: Бесплатный онлайн-редактор блок-схем, UML, ER и других диаграмм</t>
  </si>
  <si>
    <t>Бесплатное приложение с открытым кодом (Apache 2.0): «No enterprise tier for SSO»</t>
  </si>
  <si>
    <t>«100M+ users»</t>
  </si>
  <si>
    <t>https://www.lucidchart.com/</t>
  </si>
  <si>
    <t>«Diagramming powered by intelligence»: диаграммы с ИИ, данными и автоматизацией</t>
  </si>
  <si>
    <t>Универсальный редактор диаграмм (подписка): Облачный редактор диаграмм с тарифами Free, Individual, Team, Enterprise</t>
  </si>
  <si>
    <t>Пробный период платного тарифа</t>
  </si>
  <si>
    <t>Пробный период 7 дней со всеми платными функциями, карта нужна при регистрации</t>
  </si>
  <si>
    <t>Признак найден на просмотренных страницах: ии-генерация или ии-помощник</t>
  </si>
  <si>
    <t>«trusted partner of 99% of the Fortune 500»</t>
  </si>
  <si>
    <t>SAML authentication в тарифе Enterprise</t>
  </si>
  <si>
    <t>Шаблоны диаграмм</t>
  </si>
  <si>
    <t>100 шаблонов в Free; более 1 000 премиум-шаблонов в платных тарифах</t>
  </si>
  <si>
    <t>«AI for diagrams that matter»; «Create technical diagrams using AI»</t>
  </si>
  <si>
    <t>ИИ-генерация технических диаграмм: Создание технических диаграмм с помощью ИИ</t>
  </si>
  <si>
    <t>Unlimited guests на всех тарифах</t>
  </si>
  <si>
    <t>ИИ-диаграммы: 3 (Free), 40 (Starter), 250 (Business), без лимита (Enterprise)</t>
  </si>
  <si>
    <t>SAML SSO в тарифе Business</t>
  </si>
  <si>
    <t>Признак найден на просмотренных страницах: шаблоны диаграмм</t>
  </si>
  <si>
    <t>7 дней (Free), 90 дней (Starter), без ограничений (Business)</t>
  </si>
  <si>
    <t>«The whiteboard for product builders»: диаграммы, схемы интерфейсов, документы</t>
  </si>
  <si>
    <t>Универсальный редактор диаграмм и досок: Редактор диаграмм, схем интерфейсов и документов; тарифы Free, Pro, Business (страница тарифов, 01.10.2026)</t>
  </si>
  <si>
    <t>Viewers и Guests: Unlimited на всех тарифах</t>
  </si>
  <si>
    <t>SAML SSO и SCIM в тарифе Business</t>
  </si>
  <si>
    <t>7 дней (Free), 90 дней (Pro), без ограничений (Business)</t>
  </si>
  <si>
    <t>Быстро создавать и версионировать диаграммы как код</t>
  </si>
  <si>
    <t>Включить в минимальный состав NotaCode</t>
  </si>
  <si>
    <t>К. А. Хаджинова</t>
  </si>
  <si>
    <t>Начать работу без оплаты</t>
  </si>
  <si>
    <t>Получить расширенные возможности за оплату</t>
  </si>
  <si>
    <t>Реализовать на уровне рынка</t>
  </si>
  <si>
    <t>Понять цену и состав тарифа до регистрации</t>
  </si>
  <si>
    <t>Подключить организацию целиком</t>
  </si>
  <si>
    <t>Не приоритет для сегмента студентов и аналитиков</t>
  </si>
  <si>
    <t>Снизить стоимость при долгом использовании</t>
  </si>
  <si>
    <t>Проверить платные функции до оплаты</t>
  </si>
  <si>
    <t>Показать диаграмму без оплаты за каждого читателя</t>
  </si>
  <si>
    <t>Рассмотреть как дифференциатор Pro</t>
  </si>
  <si>
    <t>Ускорить создание диаграммы по описанию</t>
  </si>
  <si>
    <t>Встроить инструмент в рабочие процессы</t>
  </si>
  <si>
    <t>Автоматизировать генерацию диаграмм</t>
  </si>
  <si>
    <t>Доверять инструменту и расширять его</t>
  </si>
  <si>
    <t>Оценить качество до выбора</t>
  </si>
  <si>
    <t>Понять, где хранятся данные</t>
  </si>
  <si>
    <t>Сохранять диаграммы и настройки</t>
  </si>
  <si>
    <t>Начать работу с готового образца</t>
  </si>
  <si>
    <t>Редактировать диаграмму командой</t>
  </si>
  <si>
    <t>Вставить диаграмму в документ или презентацию</t>
  </si>
  <si>
    <t>Вернуться к предыдущей версии</t>
  </si>
  <si>
    <t>Научиться пользоваться без обращения в поддержку</t>
  </si>
  <si>
    <t>Строить диаграммы классов, последовательностей и др.</t>
  </si>
  <si>
    <t>Моделировать бизнес-процессы</t>
  </si>
  <si>
    <t>Описывать структуру базы данных</t>
  </si>
  <si>
    <t>Хранить данные внутри организации</t>
  </si>
  <si>
    <t>Работать без браузера</t>
  </si>
  <si>
    <t>Работать на русском языке и платить в рублях</t>
  </si>
  <si>
    <t>Видеть, что продукт развивается</t>
  </si>
  <si>
    <t>Несколько нотаций (UML, BPMN, ERD) в одном инструменте</t>
  </si>
  <si>
    <t>Работать с разными нотациями без смены инструмента</t>
  </si>
  <si>
    <t>Lucidchart: UML-, BPMN-шаблоны и ERD markup (lucid.co/lucidchart)</t>
  </si>
  <si>
    <t>Рассмотреть как дифференциатор: полный набор нотаций проекта</t>
  </si>
  <si>
    <t>Нотации IDEF0, DFD, сети Петри</t>
  </si>
  <si>
    <t>Строить диаграммы по учебным и отраслевым стандартам</t>
  </si>
  <si>
    <t>На просмотренных страницах 8 конкурентов не найдены (IDEF упомянут в блоге Storm)</t>
  </si>
  <si>
    <t>Дифференциатор NotaCode: у конкурентов не найден</t>
  </si>
  <si>
    <t>Проверка правил нотации при вводе</t>
  </si>
  <si>
    <t>Получать подсказки об ошибках в модели</t>
  </si>
  <si>
    <t>Импорт форматов PlantUML, Mermaid, D2, draw.io, BPMN XML</t>
  </si>
  <si>
    <t>Перенести существующие диаграммы</t>
  </si>
  <si>
    <t>Главные страницы и страницы ИИ (01.10.2026)</t>
  </si>
  <si>
    <t>Принять</t>
  </si>
  <si>
    <t>Построение диаграммы по текстовому описанию</t>
  </si>
  <si>
    <t>ИИ-генерация диаграммы по описанию</t>
  </si>
  <si>
    <t>Обязательно</t>
  </si>
  <si>
    <t>Основа продукта</t>
  </si>
  <si>
    <t>Главные страницы, ЛР4 карточки</t>
  </si>
  <si>
    <t>Студенты и аналитики ПО</t>
  </si>
  <si>
    <t>Преподаватели и команды</t>
  </si>
  <si>
    <t>Сегмент NotaCode: студенты (Free), аналитики и разработчики (Pro)</t>
  </si>
  <si>
    <t>Страницы продуктов и тарифов</t>
  </si>
  <si>
    <t>Веб-IDE «диаграммы как код» (PWA)</t>
  </si>
  <si>
    <t>Настольный режим и отдельный сервер</t>
  </si>
  <si>
    <t>Форма поставки NotaCode - PWA</t>
  </si>
  <si>
    <t>Страницы документации и продуктов</t>
  </si>
  <si>
    <t>UML, BPMN, ERD, экспорт PNG/SVG/PDF, документация</t>
  </si>
  <si>
    <t>Шаблоны, история версий</t>
  </si>
  <si>
    <t>Включить</t>
  </si>
  <si>
    <t>IDEF0, DFD, сети Петри у конкурентов не найдены: отличие NotaCode</t>
  </si>
  <si>
    <t>Главные страницы и тарифы</t>
  </si>
  <si>
    <t>Работа в браузере без установки, Free-доступ</t>
  </si>
  <si>
    <t>Совместное редактирование</t>
  </si>
  <si>
    <t>Коллаборация - линейное требование</t>
  </si>
  <si>
    <t>Страницы тарифов (01.10.2026)</t>
  </si>
  <si>
    <t>Командный тариф за пользователя</t>
  </si>
  <si>
    <t>Страницы документации и поддержки</t>
  </si>
  <si>
    <t>Документация и примеры</t>
  </si>
  <si>
    <t>Обучающие материалы для студентов</t>
  </si>
  <si>
    <t>Документация - обязательное требование</t>
  </si>
  <si>
    <t>Страницы тарифов и продуктов</t>
  </si>
  <si>
    <t>Рассмотреть</t>
  </si>
  <si>
    <t>ИИ-помощник и экспорт</t>
  </si>
  <si>
    <t>API, интеграции, история версий</t>
  </si>
  <si>
    <t>ИИ - привлекательное требование</t>
  </si>
  <si>
    <t>G2, Capterra, Trustpilot, страницы сайтов</t>
  </si>
  <si>
    <t>Политика конфиденциальности, примеры</t>
  </si>
  <si>
    <t>Открытый репозиторий, отзывы</t>
  </si>
  <si>
    <t>Пока продукт до MVP: отзывов нет</t>
  </si>
  <si>
    <t>Страницы сайтов</t>
  </si>
  <si>
    <t>Не требуется в минимальной версии</t>
  </si>
  <si>
    <t>ИИ-помощник, платформа разработчика</t>
  </si>
  <si>
    <t>Развитие после MVP</t>
  </si>
  <si>
    <t>Страницы тарифов</t>
  </si>
  <si>
    <t>Сервис без консультаций</t>
  </si>
  <si>
    <t>Платное обучение</t>
  </si>
  <si>
    <t>Консультации вне границы товара</t>
  </si>
  <si>
    <t>Сводка по листам 03, 04, 07</t>
  </si>
  <si>
    <t>Главные страницы PlantUML, Mermaid, Mermaid Chart; «Diagram-as-code» в тарифе Free Eraser; «Diagram as code» на lucid.co/lucidchart</t>
  </si>
  <si>
    <t>Признак есть у 5 из 8 конкурентов; входит в минимальный состав товара</t>
  </si>
  <si>
    <t>Открытый код или тариф Free на страницах 8 из 8 конкурентов</t>
  </si>
  <si>
    <t>Признак есть у 8 из 8 конкурентов; входит в минимальный состав товара</t>
  </si>
  <si>
    <t>Страницы тарифов Mermaid Chart, Storm, Lucidchart, Eraser, Whimsical</t>
  </si>
  <si>
    <t>Признак есть у 5 из 8 конкурентов; реализовать на уровне рынка</t>
  </si>
  <si>
    <t>Enterprise по запросу на страницах тарифов; Storm: on-prem от 990 тыс. руб. в год</t>
  </si>
  <si>
    <t>Признак есть у 4 из 8 конкурентов; не приоритет</t>
  </si>
  <si>
    <t>Цены «billed annually» (Mermaid Chart, Lucidchart, Eraser), скидка 20 % (Storm)</t>
  </si>
  <si>
    <t>Признак есть у 4 из 8 конкурентов; реализовать на уровне рынка</t>
  </si>
  <si>
    <t>FAQ Lucidchart: пробный период 7 дней</t>
  </si>
  <si>
    <t>Признак есть у 1 из 8 конкурентов; не приоритет</t>
  </si>
  <si>
    <t>Unlimited viewer seats (Mermaid Chart Premium); 100 гостей на участника (Storm); unlimited guests (Eraser, Whimsical)</t>
  </si>
  <si>
    <t>Признак есть у 4 из 8 конкурентов; кандидат на дифференциацию</t>
  </si>
  <si>
    <t>ИИ-кредиты (Mermaid Chart); ИИ-ассистент (Storm); Lucid AI; Eraser AI; ИИ в Whimsical</t>
  </si>
  <si>
    <t>Признак есть у 5 из 8 конкурентов; кандидат на дифференциацию</t>
  </si>
  <si>
    <t>Разделы и упоминания интеграций на страницах 8 из 8 конкурентов</t>
  </si>
  <si>
    <t>Признак есть у 8 из 8 конкурентов; реализовать на уровне рынка</t>
  </si>
  <si>
    <t>API Mermaid; пункт API в меню Mermaid Chart; API в Enterprise Storm; Developer platform Lucidchart; API calls Eraser</t>
  </si>
  <si>
    <t>GitHub API, 30.09.2026; лицензия Apache 2.0 у draw.io</t>
  </si>
  <si>
    <t>Признак есть у 3 из 8 конкурентов; кандидат на дифференциацию</t>
  </si>
  <si>
    <t>G2, Capterra, Trustpilot, каталоги расширений (ЛР2-3, ЛР4)</t>
  </si>
  <si>
    <t>Признак есть у 7 из 8 конкурентов; реализовать на уровне рынка</t>
  </si>
  <si>
    <t>5M человек и 200k компаний (Mermaid Chart); более 1 000 клиентов (Storm); 100M+ пользователей (draw.io); 99 % Fortune 500 (Lucidchart)</t>
  </si>
  <si>
    <t>Страница Security (Whimsical); раздел безопасности (Lucidchart, Eraser); privacy-first (draw.io)</t>
  </si>
  <si>
    <t>Признак есть у 6 из 8 конкурентов; реализовать на уровне рынка</t>
  </si>
  <si>
    <t>SSO или SAML в старших тарифах</t>
  </si>
  <si>
    <t>Признак есть у 5 из 8 конкурентов; не приоритет</t>
  </si>
  <si>
    <t>Ссылки на вход на главных страницах</t>
  </si>
  <si>
    <t>100 шаблонов в Free и более 1 000 в платных тарифах (Lucidchart); раздел шаблонов Eraser и Whimsical</t>
  </si>
  <si>
    <t>Признак есть у 3 из 8 конкурентов; реализовать на уровне рынка</t>
  </si>
  <si>
    <t>Real-time collaboration (draw.io, Lucidchart, Whimsical); совместное редактирование в браузере (Storm); Co-editing (Mermaid Chart)</t>
  </si>
  <si>
    <t>Экспорт упомянут на страницах 8 из 8 конкурентов (PNG, SVG, PDF, DOCX у Storm, Visio у Lucidchart)</t>
  </si>
  <si>
    <t>7 и 90 дней (Eraser, Whimsical); Revision history (Lucidchart Team); версионирование (меню Storm)</t>
  </si>
  <si>
    <t>PlantUML Language Reference Guide; Mermaid User Guide; docs.mermaidchart.com; docs.eraser.io; Learning center Lucidchart</t>
  </si>
  <si>
    <t>Признак есть у 6 из 8 конкурентов; входит в минимальный состав товара</t>
  </si>
  <si>
    <t>Страницы class-diagram (PlantUML, Mermaid); UML в описании draw.io; UML-шаблоны Lucidchart</t>
  </si>
  <si>
    <t>Признак есть у 4 из 8 конкурентов; входит в минимальный состав товара</t>
  </si>
  <si>
    <t>Редактор BPMN 2.0 (Storm); BPMN-шаблон (Lucidchart); упоминание BPMN на сайте Eraser</t>
  </si>
  <si>
    <t>Страницы entityRelationshipDiagram (Mermaid), ie-diagram (PlantUML); ER в описании draw.io; ERD markup (Lucidchart)</t>
  </si>
  <si>
    <t>Страницы running и download (PlantUML); библиотека Mermaid; on-prem (Storm); Flexible deployments (Eraser Enterprise)</t>
  </si>
  <si>
    <t>Загрузка PlantUML; drawio-desktop (GitHub); Desktop app в таблице тарифов Whimsical</t>
  </si>
  <si>
    <t>Признак есть у 3 из 8 конкурентов; не приоритет</t>
  </si>
  <si>
    <t>Сайт и тарифы Storm на русском языке, цены в рублях</t>
  </si>
  <si>
    <t>Признак есть у 1 из 8 конкурентов; кандидат на дифференциацию</t>
  </si>
  <si>
    <t>MCP-интеграция (Storm); метки NEW: Lucid AI, Developer platform (Lucidchart); ИИ-кредиты (Mermaid Chart); AI-first (Eraser)</t>
  </si>
  <si>
    <t>ИИ-генерация и diagram-as-code в одном продукте</t>
  </si>
  <si>
    <t>«AI for diagrams that matter»; тариф Free включает diagram-as-code и 3 ИИ-диаграммы (eraser.io, 01.10.2026)</t>
  </si>
  <si>
    <t>Девять модулей процессного управления и русскоязычный рынок с тарифами в рублях</t>
  </si>
  <si>
    <t>stormbpmn.com и /pricing, 01.10.2026; Россия 62,99 % трафика</t>
  </si>
  <si>
    <t>Глубина товара и масштаб: 100 шаблонов в Free, Visio import, SAML, Fortune 500</t>
  </si>
  <si>
    <t>lucid.app/pricing/lucidchart и lucid.co/lucidchart, 01.10.2026</t>
  </si>
  <si>
    <t>Бесплатное приложение без enterprise-тарифа, privacy-first, 100M+ пользователей</t>
  </si>
  <si>
    <t>drawio.com, 01.10.2026; GitHub (ЛР4)</t>
  </si>
  <si>
    <t>mermaid.js.org/ecosystem; GitHub (ЛР4)</t>
  </si>
  <si>
    <t>Широкий набор UML-диаграмм и запуск на собственном сервере</t>
  </si>
  <si>
    <t>plantuml.com/running и /class-diagram, 01.10.2026</t>
  </si>
  <si>
    <t>Прозрачные тарифы и зрители без оплаты в Premium</t>
  </si>
  <si>
    <t>mermaid.ai/pricing, 01.10.2026</t>
  </si>
  <si>
    <t>Неограниченные гости и зрители на всех тарифах</t>
  </si>
  <si>
    <t>whimsical.com/pricing, 01.10.2026</t>
  </si>
  <si>
    <t>Журнал рабочей копии: источники, правила, ограничения</t>
  </si>
  <si>
    <t>Код</t>
  </si>
  <si>
    <t>Содержание</t>
  </si>
  <si>
    <t>Исправление шаблона</t>
  </si>
  <si>
    <t>Д-1</t>
  </si>
  <si>
    <t>Д-2</t>
  </si>
  <si>
    <t>Источники</t>
  </si>
  <si>
    <t>И-1</t>
  </si>
  <si>
    <t>Выборка</t>
  </si>
  <si>
    <t>В-1</t>
  </si>
  <si>
    <t>Правило</t>
  </si>
  <si>
    <t>П-1</t>
  </si>
  <si>
    <t>П-2</t>
  </si>
  <si>
    <t>П-3</t>
  </si>
  <si>
    <t>П-4</t>
  </si>
  <si>
    <t>П-5</t>
  </si>
  <si>
    <t>П-6</t>
  </si>
  <si>
    <t>Нормы дашборда</t>
  </si>
  <si>
    <t>К-1</t>
  </si>
  <si>
    <t>Итог сравнения</t>
  </si>
  <si>
    <t>К-2</t>
  </si>
  <si>
    <t>Ограничения</t>
  </si>
  <si>
    <t>О-1</t>
  </si>
  <si>
    <t>Условно-бесплатная: Free, Plus 10 у.е., Premium 20 у.е., Enterprise</t>
  </si>
  <si>
    <t>Условно-бесплатная: Free, Individual 9 у.е., Team 10 у.е., Enterprise</t>
  </si>
  <si>
    <t>Условно-бесплатная: Free, Starter 15 у.е., Business 45 у.е., Enterprise</t>
  </si>
  <si>
    <t>Условно-бесплатная: Free, Pro 10 у.е., Business 20 у.е.</t>
  </si>
  <si>
    <t>01.10.2026</t>
  </si>
  <si>
    <t>30.09.2026</t>
  </si>
  <si>
    <t>Заголовок: User guides – Mermaid Chart. Признаки в тексте: free, pricing, ai, collab, integr, api</t>
  </si>
  <si>
    <t>Заголовок: Storm – платформа процессного управления. Признаки в тексте: ai, security, bpmn</t>
  </si>
  <si>
    <t>Заголовок: Whimsical – The whiteboard for product builders. Признаки в тексте: free, pricing, ai, collab, integr, templates</t>
  </si>
  <si>
    <t>Тарифы: Basic Free, Plus 10 у.е., Premium 20 у.е., Enterprise по запросу</t>
  </si>
  <si>
    <t>Тарифы: Free 0 у.е., Individual 9 у.е., Team 10 у.е., Enterprise по запросу</t>
  </si>
  <si>
    <t>Plus 10 у.е., Premium 20 у.е. за пользователя в месяц при оплате за год</t>
  </si>
  <si>
    <t>Free 0 у.е.: 3 редактируемых документа, 75 фигур на документ, 100 шаблонов</t>
  </si>
  <si>
    <t>Individual 9 у.е., Team 10 у.е. за пользователя в месяц при оплате за год</t>
  </si>
  <si>
    <t>Free 0 у.е. за участника: 3 файла, 3 ИИ-диаграммы, 7 дней истории, diagram-as-code</t>
  </si>
  <si>
    <t>Starter 15 у.е. (20 у.е. помесячно), Business 45 у.е. (60 у.е.) за участника в месяц</t>
  </si>
  <si>
    <t>Starter 15 у.е. при годовой оплате против 20 у.е. помесячно</t>
  </si>
  <si>
    <t>Free 0 у.е.: 50 объектов доски и 50 блоков документа в месяц, водяной знак при экспорте</t>
  </si>
  <si>
    <t>Pro 10 у.е., Business 20 у.е. за редактора в месяц</t>
  </si>
  <si>
    <t>Сформулируйте итог: цифровой товар – это… для… который решает… за счет…</t>
  </si>
  <si>
    <t>Free и Pro 40 у.е. в год (48 у.е. при 4 x 12 рядом)</t>
  </si>
  <si>
    <t>Цена Pro ниже минимальных тарифов конкурентов (от 9 у.е. в месяц)</t>
  </si>
  <si>
    <t>Назначение: определить рыночный стандарт цифрового товара, выделить конкурентные преимущества по товару и сформулировать сам цифровой товар через модель Левитта и модель Кано</t>
  </si>
  <si>
    <t>Заполнить лист «01_Конкуренты»: прямые конкуренты, косвенные конкуренты, эталонные сайты для наблюдения за лучшей практикой</t>
  </si>
  <si>
    <t>Сформирован сопоставимый контур анализа</t>
  </si>
  <si>
    <t>Зафиксировать проверенные страницы: главная, лендинг товара, тарифы, функциональные страницы, личный кабинет, поддержка, вопросы и ответы, блог, документация</t>
  </si>
  <si>
    <t>Появляется проверяемая база доказательств, а не субъективное впечатление</t>
  </si>
  <si>
    <t>Разложить цифровой товар на уровни: базовая выгода, родовой товар, ожидаемый товар, расширенный товар, потенциальный товар</t>
  </si>
  <si>
    <t>Понятно, что именно продает конкурент и за счет каких уровней формируется ценность</t>
  </si>
  <si>
    <t>Классифицировать функции и признаки товара: обязательные, линейные, привлекательные, безразличные, обратные, неясные</t>
  </si>
  <si>
    <t>Понятно, какие признаки должны быть обязательно, какие повышают удовлетворенность, а какие создают отличие</t>
  </si>
  <si>
    <t>Оценить конкурентов по критериям товара, сайта и цифрового сервиса по шкале 0–5</t>
  </si>
  <si>
    <t>Получается количественная карта сильных и слабых сторон</t>
  </si>
  <si>
    <t>Определить признаки, встречающиеся у большинства конкурентов, особенно если они относятся к обязательным или линейным требованиям Кано</t>
  </si>
  <si>
    <t>Сформулирован минимально приемлемый состав цифрового товара на рынке</t>
  </si>
  <si>
    <t>Выделить признаки, которые редки, хорошо реализованы, заметны пользователю и повышают воспринимаемую ценность</t>
  </si>
  <si>
    <t>Сформирован список конкурентных преимуществ и гипотез дифференциации</t>
  </si>
  <si>
    <t>На листе «05_Матрица_товара» собрать описание целевого цифрового товара: для кого, какую задачу решает, какие функции включает, где границы продукта</t>
  </si>
  <si>
    <t>Получено предметное определение цифрового товара и требований к его составу</t>
  </si>
  <si>
    <t>0 – отсутствует; 1–3 – степень проявления</t>
  </si>
  <si>
    <t>3 означает, что признак хорошо заметен и функционально раскрыт</t>
  </si>
  <si>
    <t>4–5 – признак способен влиять на выбор товара</t>
  </si>
  <si>
    <t>Оценки сопоставимы только при одинаковой логике анализа</t>
  </si>
  <si>
    <t>Заполните список конкурентов и базовые параметры. ID конкурента используется в остальных листах для связки данных</t>
  </si>
  <si>
    <t>Фиксируйте каждую страницу, которая стала источником вывода. Это повышает воспроизводимость анализа и качество итоговых решений</t>
  </si>
  <si>
    <t>Разложите товар конкурента на уровни: от базовой выгоды до потенциального развития. Оценка признака рассчитывается автоматически</t>
  </si>
  <si>
    <t>Классифицируйте требования к цифровому товару: что обязательно, что прямо повышает удовлетворенность, а что создает эффект привлекательности</t>
  </si>
  <si>
    <t>не собрано: проверка работы продуктов (тест редакторов)</t>
  </si>
  <si>
    <t>не собрано: решение после проверки продуктов</t>
  </si>
  <si>
    <t>не собрано: проверка работы продуктов (Visio import найден у Lucidchart)</t>
  </si>
  <si>
    <t>Используйте этот лист для итогового синтеза: какие элементы входят в цифровой товар, какие являются обязательными, а какие формируют отличие</t>
  </si>
  <si>
    <t>Рынок обещает три вида задач: диаграммы из текста (PlantUML, Mermaid, Mermaid Chart, Eraser), рисование в редакторе (draw.io, Lucidchart, Whimsical), управление процессами (Storm); ИИ-генерация есть у 5 из 8</t>
  </si>
  <si>
    <t>Явные аудитории: разработчики и технические писатели (PlantUML, Mermaid), команды и бизнес-пользователи (Mermaid Chart, Lucidchart, Whimsical), процессные аналитики (Storm), инженерные команды (Eraser)</t>
  </si>
  <si>
    <t>Родовой товар: онлайн-редактор с кодом диаграммы (PlantUML server, Mermaid Live), облачный SaaS (Mermaid Chart, Lucidchart, Eraser, Whimsical, Storm) или бесплатное приложение (draw.io)</t>
  </si>
  <si>
    <t>Ожидаемый состав: UML (4 из 8), ERD (6 из 8), экспорт (8 из 8), документация (6 из 8), вход (5 из 8), шаблоны (3 из 8)</t>
  </si>
  <si>
    <t>Доступ: открытый код или Free-тариф у 8 из 8; вход и личный кабинет у 5 из 8; совместная работа у 6 из 8</t>
  </si>
  <si>
    <t>Тарифы открыты у 5 из 8: Free плюс подписка 9-20 у.е. за пользователя в месяц (Mermaid Chart 10 и 20, Lucidchart 9 и 10, Eraser 15 и 45, Whimsical 10 и 20); цены при годовой оплате у 4 из 8</t>
  </si>
  <si>
    <t>Поддержка: документация у 6 из 8, учебный центр у Lucidchart, раздел поддержки у Whimsical; чат поддержки не проверялся</t>
  </si>
  <si>
    <t>Расширение ценности: ИИ у 5 из 8, API у 5 из 8, интеграции у 8 из 8, история версий у 5 из 8</t>
  </si>
  <si>
    <t>Доверие: независимые отзывы у 7 из 8, данные о числе пользователей на сайте у 4 из 8, раздел о безопасности у 6 из 8, открытый код у 3 из 8</t>
  </si>
  <si>
    <t>Потенциал: ИИ-помощник и MCP (Storm), Lucid AI и платформа разработчика (Lucidchart), ИИ-кредиты (Mermaid Chart)</t>
  </si>
  <si>
    <t>Граница товара: у всех восьми товар - сервис или библиотека; консультации и обучение не входят в тарифы Free и Pro</t>
  </si>
  <si>
    <t>Рынок: цифровой товар диаграмм - онлайн-редактор или библиотека с кодом диаграммы для разработчиков и аналитиков, бесплатный доступ и платная подписка, экспорт, документация</t>
  </si>
  <si>
    <t>Оцените каждый критерий по шкале 0–5. Вес показывает влияние критерия на товарную конкурентоспособность</t>
  </si>
  <si>
    <t>Лист позволяет отделить обязательную норму рынка от зон дифференциации и спорных признаков</t>
  </si>
  <si>
    <t>Преимущество фиксируется только при наличии доказательства с сайта, пользовательской ценности и отличия от среднего рынка</t>
  </si>
  <si>
    <t>Сводные показатели обновляются после заполнения листов. Используйте лист для контроля полноты анализа и обсуждения итоговых выводов</t>
  </si>
  <si>
    <t>Меньше 5 – риск случайных выводов</t>
  </si>
  <si>
    <t>Желательно несколько типов страниц по каждому конкуренту</t>
  </si>
  <si>
    <t>Нужны признаки по всем уровням товара</t>
  </si>
  <si>
    <t>Обязательные и привлекательные признаки должны быть разделены</t>
  </si>
  <si>
    <t>Это минимальная планка цифрового товара</t>
  </si>
  <si>
    <t>Это пространство для конкурентного отличия</t>
  </si>
  <si>
    <t>Проверять доказательства и воспроизводимость</t>
  </si>
  <si>
    <t>Минимальный состав: бесплатный доступ (8 из 8), экспорт (8 из 8), интеграции (8 из 8), UML (4 из 8), ERD (6 из 8), документация (6 из 8), открытая страница тарифов (5 из 8)</t>
  </si>
  <si>
    <t>Нельзя игнорировать: Free-тариф, экспорт, понятные тарифы с ценой за пользователя в месяц, документация, ИИ-генерация (5 из 8) и интеграции</t>
  </si>
  <si>
    <t>Зоны дифференциации NotaCode: IDEF0, DFD и сети Петри на просмотренных сайтах не найдены; полный набор UML, BPMN, ERD найден только у Lucidchart; тарифы в рублях - только у Storm</t>
  </si>
  <si>
    <t>Лучшие практики: прозрачные тарифы с ИИ-лимитами (Eraser, Mermaid Chart), шаблоны в бесплатном тарифе (Lucidchart), зрители без оплаты (Whimsical, Mermaid Chart), открытая экосистема (Mermaid)</t>
  </si>
  <si>
    <t>Лист содержит подсказки по классификациям, используемым в шаблоне</t>
  </si>
  <si>
    <t>Главная задача и ценность для пользователя</t>
  </si>
  <si>
    <t>Минимальная форма товара: сервис, приложение, кабинет, база, подписка</t>
  </si>
  <si>
    <t>То, что пользователь считает нормой категории</t>
  </si>
  <si>
    <t>Дополнительные элементы, повышающие ценность и доверие</t>
  </si>
  <si>
    <t>Будущие функции, развитие, интеграции, персонализация, данные</t>
  </si>
  <si>
    <t>Отсутствие вызывает неудовлетворенность; наличие обычно воспринимается как норма</t>
  </si>
  <si>
    <t>Чем лучше реализовано, тем выше удовлетворенность и готовность выбрать товар</t>
  </si>
  <si>
    <t>Не ожидается большинством, но создает положительное отличие</t>
  </si>
  <si>
    <t>Слабо влияет на выбор и удовлетворенность</t>
  </si>
  <si>
    <t>Может снижать удовлетворенность или создавать отторжение</t>
  </si>
  <si>
    <t>Недостаточно данных для классификации</t>
  </si>
  <si>
    <t>Лучший набор функций или качество их реализации</t>
  </si>
  <si>
    <t>Цена, стоимость владения, экономия ресурсов</t>
  </si>
  <si>
    <t>Простота, скорость и понятность пользовательского пути</t>
  </si>
  <si>
    <t>Поддержка, сопровождение, обучение, гарантия результата</t>
  </si>
  <si>
    <t>Доказательства надежности, безопасность, репутация</t>
  </si>
  <si>
    <t>Персонализация, рекомендации, отчеты, прогнозы</t>
  </si>
  <si>
    <t>Ценность растет с числом пользователей, участников, данных или партнеров</t>
  </si>
  <si>
    <t>Связь с другими системами и процессами пользователя</t>
  </si>
  <si>
    <t>Качество, глубина, эксклюзивность или регулярность материалов</t>
  </si>
  <si>
    <t>Лист 06_Сравнение, строки 90 и 91 (итоговый балл и интерпретация): формулы столбцов F-L ссылались на столбец E (баллы C01), поэтому итог был одинаковым (3,28) у всех конкурентов. Ссылки заменены на собственные столбцы (E-L); логика формулы сохранена</t>
  </si>
  <si>
    <t>Страницы 8 конкурентов (главные, тарифы, документация, интеграции, шаблоны, безопасность, блог): автоматическое извлечение текста 01.10.2026 (Материалы_собранные/sajty_konkurentov_stranicy_2026-10-01.json) и чтение во встроенном браузере (Lucidchart, тарифы Mermaid Chart); данные ЛР1-ЛР4 от 30.09.2026</t>
  </si>
  <si>
    <t>8 компаний из 22 части A (поле «Переходит в части B и C»). Тип конкурента - итоговый уровень из части A</t>
  </si>
  <si>
    <t>Признак засчитывается, если он найден на просмотренных страницах; отсутствие на просмотренных страницах не доказывает отсутствия у продукта (значения занижают долю)</t>
  </si>
  <si>
    <t>Достоверность в 02_Карта_сайтов: 5 - страница прочитана целиком (тарифы, Lucidchart, Mermaid Chart) или данные GitHub API; 4 - автоматическое извлечение текста</t>
  </si>
  <si>
    <t>03_Левитт: сила реализации 3, если признак явно описан на странице (цена, тариф, функция), 2 - найден по ключевым словам; понятность 3 для SaaS-сайтов с отдельными разделами, 2 для остальных; влияние на ценность 1-5 - по типу признака</t>
  </si>
  <si>
    <t>08_Преимущества: редкость, сила, ценность и качество доказательства - экспертные оценки 1-5 по просмотренным страницам и данным ЛР4</t>
  </si>
  <si>
    <t>Страниц: 40 (норма 30+); признаков по Левитту: 153 (норма 40+); требований по Кано: 33 (норма 25+)</t>
  </si>
  <si>
    <t>Итоговые баллы: Lucidchart 4,64; Mermaid Chart 4,48; Eraser 4,46; Storm (StormBPMN) 4,26; Whimsical 4,05; draw.io (diagrams.net) 4,01; Mermaid (библиотека) 3,35; PlantUML 3,28</t>
  </si>
  <si>
    <t>Оценки экспертные; страницы просмотрены с одного устройства. Планируется собрать: проверка работы продуктов (проверка правил нотации, импорт форматов), опрос для категорий Кано</t>
  </si>
  <si>
    <t>Завершен</t>
  </si>
  <si>
    <t>Звезды, форки, дата обновления</t>
  </si>
  <si>
    <t>13 346 звезд, лицензия LGPL-3.0, обновление 2026-09-30</t>
  </si>
  <si>
    <t>90 489 звезд, лицензия MIT, обновление 2026-09-30</t>
  </si>
  <si>
    <t>6 836 звезд, лицензия MIT, обновление 2026-09-30</t>
  </si>
  <si>
    <t>8 502 звезд, лицензия Apache-2.0, обновление 2026-09-25</t>
  </si>
  <si>
    <t>63 351 звезд, лицензия GPL-3.0, обновление 2026-09-28</t>
  </si>
  <si>
    <t>Развертывание на своем сервере</t>
  </si>
  <si>
    <t>Признак найден на просмотренных страницах: развертывание на своем сервере</t>
  </si>
  <si>
    <t>Главные страницы PlantUML, Mermaid, Mermaid Chart; «Diagram-as-code» в тарифе Free Eraser; «Diagram as code» на lucid.co/lucidchart. Категория Кано - экспертная классификация по распространенности и роли признака (опрос не проводился)</t>
  </si>
  <si>
    <t>Открытый код или тариф Free на страницах 8 из 8 конкурентов. Категория Кано - экспертная классификация по распространенности и роли признака (опрос не проводился)</t>
  </si>
  <si>
    <t>Страницы тарифов Mermaid Chart, Storm, Lucidchart, Eraser, Whimsical. Категория Кано - экспертная классификация по распространенности и роли признака (опрос не проводился)</t>
  </si>
  <si>
    <t>Страницы тарифов (01.10.2026). Категория Кано - экспертная классификация по распространенности и роли признака (опрос не проводился)</t>
  </si>
  <si>
    <t>Enterprise по запросу на страницах тарифов; Storm: on-prem от 990 тыс. руб. в год. Категория Кано - экспертная классификация по распространенности и роли признака (опрос не проводился)</t>
  </si>
  <si>
    <t>Цены «billed annually» (Mermaid Chart, Lucidchart, Eraser), скидка 20 % (Storm). Категория Кано - экспертная классификация по распространенности и роли признака (опрос не проводился)</t>
  </si>
  <si>
    <t>FAQ Lucidchart: пробный период 7 дней. Категория Кано - экспертная классификация по распространенности и роли признака (опрос не проводился)</t>
  </si>
  <si>
    <t>Unlimited viewer seats (Mermaid Chart Premium); 100 гостей на участника (Storm); unlimited guests (Eraser, Whimsical). Категория Кано - экспертная классификация по распространенности и роли признака (опрос не проводился)</t>
  </si>
  <si>
    <t>ИИ-кредиты (Mermaid Chart); ИИ-ассистент (Storm); Lucid AI; Eraser AI; ИИ в Whimsical. Категория Кано - экспертная классификация по распространенности и роли признака (опрос не проводился)</t>
  </si>
  <si>
    <t>Разделы и упоминания интеграций на страницах 8 из 8 конкурентов. Категория Кано - экспертная классификация по распространенности и роли признака (опрос не проводился)</t>
  </si>
  <si>
    <t>API Mermaid; пункт API в меню Mermaid Chart; API в Enterprise Storm; Developer platform Lucidchart; API calls Eraser. Категория Кано - экспертная классификация по распространенности и роли признака (опрос не проводился)</t>
  </si>
  <si>
    <t>GitHub API, 30.09.2026; лицензия Apache 2.0 у draw.io. Категория Кано - экспертная классификация по распространенности и роли признака (опрос не проводился)</t>
  </si>
  <si>
    <t>G2, Capterra, Trustpilot, каталоги расширений (ЛР2-3, ЛР4). Категория Кано - экспертная классификация по распространенности и роли признака (опрос не проводился)</t>
  </si>
  <si>
    <t>Оценить масштаб и надежность продукта</t>
  </si>
  <si>
    <t>5M человек и 200k компаний (Mermaid Chart); более 1 000 клиентов (Storm); 100M+ пользователей (draw.io); 99 % Fortune 500 (Lucidchart). Категория Кано - экспертная классификация по распространенности и роли признака (опрос не проводился)</t>
  </si>
  <si>
    <t>Страница Security (Whimsical); раздел безопасности (Lucidchart, Eraser); privacy-first (draw.io). Категория Кано - экспертная классификация по распространенности и роли признака (опрос не проводился)</t>
  </si>
  <si>
    <t>Подключить корпоративную учетную запись</t>
  </si>
  <si>
    <t>SSO или SAML в старших тарифах. Категория Кано - экспертная классификация по распространенности и роли признака (опрос не проводился)</t>
  </si>
  <si>
    <t>Ссылки на вход на главных страницах. Категория Кано - экспертная классификация по распространенности и роли признака (опрос не проводился)</t>
  </si>
  <si>
    <t>100 шаблонов в Free и более 1 000 в платных тарифах (Lucidchart); раздел шаблонов Eraser и Whimsical. Категория Кано - экспертная классификация по распространенности и роли признака (опрос не проводился)</t>
  </si>
  <si>
    <t>Real-time collaboration (draw.io, Lucidchart, Whimsical); совместное редактирование в браузере (Storm); Co-editing (Mermaid Chart). Категория Кано - экспертная классификация по распространенности и роли признака (опрос не проводился)</t>
  </si>
  <si>
    <t>Экспорт упомянут на страницах 8 из 8 конкурентов (PNG, SVG, PDF, DOCX у Storm, Visio у Lucidchart). Категория Кано - экспертная классификация по распространенности и роли признака (опрос не проводился)</t>
  </si>
  <si>
    <t>7 и 90 дней (Eraser, Whimsical); Revision history (Lucidchart Team); версионирование (меню Storm). Категория Кано - экспертная классификация по распространенности и роли признака (опрос не проводился)</t>
  </si>
  <si>
    <t>PlantUML Language Reference Guide; Mermaid User Guide; docs.mermaidchart.com; docs.eraser.io; Learning center Lucidchart. Категория Кано - экспертная классификация по распространенности и роли признака (опрос не проводился)</t>
  </si>
  <si>
    <t>Страницы class-diagram (PlantUML, Mermaid); UML в описании draw.io; UML-шаблоны Lucidchart. Категория Кано - экспертная классификация по распространенности и роли признака (опрос не проводился)</t>
  </si>
  <si>
    <t>Редактор BPMN 2.0 (Storm); BPMN-шаблон (Lucidchart); упоминание BPMN на сайте Eraser. Категория Кано - экспертная классификация по распространенности и роли признака (опрос не проводился)</t>
  </si>
  <si>
    <t>Страницы entityRelationshipDiagram (Mermaid), ie-diagram (PlantUML); ER в описании draw.io; ERD markup (Lucidchart). Категория Кано - экспертная классификация по распространенности и роли признака (опрос не проводился)</t>
  </si>
  <si>
    <t>Страницы running и download (PlantUML); библиотека Mermaid; on-prem (Storm); Flexible deployments (Eraser Enterprise). Категория Кано - экспертная классификация по распространенности и роли признака (опрос не проводился)</t>
  </si>
  <si>
    <t>Загрузка PlantUML; drawio-desktop (GitHub); Desktop app в таблице тарифов Whimsical. Категория Кано - экспертная классификация по распространенности и роли признака (опрос не проводился)</t>
  </si>
  <si>
    <t>Сайт и тарифы Storm на русском языке, цены в рублях. Категория Кано - экспертная классификация по распространенности и роли признака (опрос не проводился)</t>
  </si>
  <si>
    <t>MCP-интеграция (Storm); метки NEW: Lucid AI, Developer platform (Lucidchart); ИИ-кредиты (Mermaid Chart); AI-first (Eraser). Категория Кано - экспертная классификация по распространенности и роли признака (опрос не проводился)</t>
  </si>
  <si>
    <t>Цифровой товар NotaCode - это веб-IDE «диаграммы как код» для студентов и аналитиков ПО, который решает задачу построения и проверки диаграмм UML, BPMN, ERD, IDEF0 и DFD по текстовому описанию за счет онлайн-редактора с экспортом, бесплатного уровня Free и подписки Pro 40 у.е. в год</t>
  </si>
  <si>
    <t>Открытая экосистема интеграций и крупнейшее сообщество (90 489 звезд)</t>
  </si>
  <si>
    <t>Риск: копировать тарифы за пользователя без проверки спроса студентов; цена Pro 40 у.е. в год ниже минимальных тарифов конкурентов (от 9 у.е. в месяц), ее нужно подтвердить опросом</t>
  </si>
  <si>
    <t>Лист 06_Сравнение, столбец O (Лидер) в пустых строках P26-P80: MAX пустого диапазона дает 0, MATCH не находит значение, результат #Н/Д. Формула обернута в IFERROR (при пустых баллах - пустая ячейка)</t>
  </si>
  <si>
    <t>Категории Кано присвоены экспертно (по распространенности и роли признака для студентов и аналитиков ПО); опрос по методу Кано не проводился. Требования без данных помечены «Неясное»</t>
  </si>
  <si>
    <t>06_Сравнение: баллы 0-5 по 25 критериям поставлены по просмотренным страницам; пусто - критерий не подтвержден страницами. Итог - взвешенный балл шаблона</t>
  </si>
  <si>
    <t>Подтвердить реализацию в продуктах конкурентов, а не только на сайтах</t>
  </si>
  <si>
    <t>Признак есть у 5 из 8 конкурентов (просмотр 01.10.2026)</t>
  </si>
  <si>
    <t>Признак есть у 8 из 8 конкурентов (просмотр 01.10.2026)</t>
  </si>
  <si>
    <t>Пересмотреть при росте распространенности признака</t>
  </si>
  <si>
    <t>Признак есть у 4 из 8 конкурентов (просмотр 01.10.2026)</t>
  </si>
  <si>
    <t>Отследить динамику распространенности признака</t>
  </si>
  <si>
    <t>Признак есть у 1 из 8 конкурентов (просмотр 01.10.2026)</t>
  </si>
  <si>
    <t>Оценить готовность пользователей платить за признак</t>
  </si>
  <si>
    <t>Проверить спрос и стоимость реализации признака</t>
  </si>
  <si>
    <t>Признак есть у 3 из 8 конкурентов (просмотр 01.10.2026)</t>
  </si>
  <si>
    <t>Признак есть у 7 из 8 конкурентов (просмотр 01.10.2026)</t>
  </si>
  <si>
    <t>Признак есть у 6 из 8 конкурентов (просмотр 01.10.2026)</t>
  </si>
  <si>
    <t>Использовать как ориентир при формулировании ценностного предложения</t>
  </si>
  <si>
    <t>Учесть при развитии продукта после выпуска минимальной версии</t>
  </si>
  <si>
    <t>Конкурентная норма с высоким влиянием; включить в минимальный состав NotaCode</t>
  </si>
  <si>
    <t>Отсутствие снижает удовлетворенность; обязательно включить в MVP NotaCode</t>
  </si>
  <si>
    <t>Линейное влияние: чем лучше реализовано, тем выше оценка NotaCode</t>
  </si>
  <si>
    <t>Слабое влияние на выбор; исключить из приоритетного плана</t>
  </si>
  <si>
    <t>Дифференциатор; добавляет ценность при реализации; кандидат для Pro</t>
  </si>
  <si>
    <t>Недостаточно данных; требует дополнительного исследования</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</si>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</sst>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b/>
      <sz val="16"/>
      <color rgb="FFFFFFFF"/>
      <name val="Carlito"/>
    </font>
    <font>
      <sz val="10"/>
      <color rgb="FF111827"/>
      <name val="Carlito"/>
    </font>
    <font>
      <b/>
      <sz val="10"/>
      <color rgb="FFFFFFFF"/>
      <name val="Carlito"/>
    </font>
    <font>
      <sz val="10"/>
      <color rgb="FF111827"/>
      <name val="Carlito"/>
    </font>
    <font>
      <b/>
      <sz val="11"/>
      <color rgb="FFFFFFFF"/>
      <name val="Carlito"/>
    </font>
    <font>
      <b/>
      <sz val="10"/>
      <color rgb="FF1E3A8A"/>
      <name val="Carlito"/>
    </font>
    <font>
      <b/>
      <sz val="10"/>
      <color rgb="FF111827"/>
      <name val="Carlito"/>
    </font>
    <font>
      <sz val="10"/>
      <name val="Carlito"/>
    </font>
    <font>
      <b/>
      <sz val="12"/>
      <name val="Carlito"/>
    </font>
    <font>
      <sz val="11"/>
      <name val="Carlito"/>
    </font>
    <font>
      <b/>
      <sz val="10"/>
      <name val="Carlito"/>
      <charset val="204"/>
    </font>
    <font>
      <b/>
      <sz val="12"/>
      <name val="Carlito"/>
      <charset val="204"/>
    </font>
    <font>
      <b/>
      <sz val="10"/>
      <color theme="0"/>
      <name val="Carlito"/>
    </font>
  </fonts>
  <fills count="10">
    <fill>
      <patternFill patternType="none"/>
    </fill>
    <fill>
      <patternFill patternType="gray125"/>
    </fill>
    <fill>
      <patternFill patternType="solid">
        <fgColor rgb="FF1F4E5F"/>
      </patternFill>
    </fill>
    <fill>
      <patternFill patternType="solid">
        <fgColor rgb="FFCCFBF1"/>
      </patternFill>
    </fill>
    <fill>
      <patternFill patternType="solid">
        <fgColor rgb="FF0F766E"/>
      </patternFill>
    </fill>
    <fill>
      <patternFill patternType="solid">
        <fgColor rgb="FFEEF2FF"/>
      </patternFill>
    </fill>
    <fill>
      <patternFill patternType="solid">
        <fgColor rgb="FFDBEAFE"/>
      </patternFill>
    </fill>
    <fill>
      <patternFill patternType="solid">
        <fgColor rgb="FFDCFCE7"/>
      </patternFill>
    </fill>
    <fill>
      <patternFill patternType="solid">
        <fgColor rgb="FFFAFAFA"/>
      </patternFill>
    </fill>
    <fill>
      <patternFill patternType="solid">
        <fgColor rgb="FFF2F2F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cellStyleXfs>
  <cellXfs count="26">
    <xf numFmtId="0" fontId="0" fillId="0" borderId="0" xfId="0"/>
    <xf numFmtId="0" fontId="4" fillId="0" borderId="0" xfId="1" applyFont="1" applyAlignment="1">
      <alignment vertical="top" wrapText="1"/>
    </xf>
    <xf numFmtId="9" fontId="4" fillId="0" borderId="0" xfId="1" applyNumberFormat="1" applyFont="1" applyAlignment="1">
      <alignment vertical="top" wrapText="1"/>
    </xf>
    <xf numFmtId="0" fontId="7" fillId="2" borderId="0" xfId="1" applyFont="1" applyFill="1" applyAlignment="1">
      <alignment horizontal="center" vertical="top" wrapText="1"/>
    </xf>
    <xf numFmtId="0" fontId="7" fillId="3" borderId="0" xfId="1" applyFont="1" applyFill="1" applyAlignment="1">
      <alignment vertical="top" wrapText="1"/>
    </xf>
    <xf numFmtId="0" fontId="8" fillId="0" borderId="0" xfId="0" applyFont="1"/>
    <xf numFmtId="0" fontId="8" fillId="0" borderId="1" xfId="0" applyFont="1" applyBorder="1" applyAlignment="1">
      <alignment vertical="top" wrapText="1"/>
    </xf>
    <xf numFmtId="49" fontId="4" fillId="0" borderId="0" xfId="1" applyNumberFormat="1" applyFont="1" applyAlignment="1">
      <alignment vertical="top" wrapText="1"/>
    </xf>
    <xf numFmtId="0" fontId="0" fillId="0" borderId="0" xfId="0" applyAlignment="1">
      <alignment vertical="top" wrapText="1"/>
    </xf>
    <xf numFmtId="0" fontId="3" fillId="4" borderId="0" xfId="1" applyFont="1" applyFill="1" applyAlignment="1">
      <alignment horizontal="center" vertical="top" wrapText="1"/>
    </xf>
    <xf numFmtId="0" fontId="5" fillId="2" borderId="0" xfId="1" applyFont="1" applyFill="1" applyAlignment="1">
      <alignment horizontal="center" vertical="top" wrapText="1"/>
    </xf>
    <xf numFmtId="0" fontId="9" fillId="7" borderId="0" xfId="1" applyFont="1" applyFill="1" applyAlignment="1">
      <alignment horizontal="center" vertical="top" wrapText="1"/>
    </xf>
    <xf numFmtId="0" fontId="8" fillId="0" borderId="0" xfId="1" applyFont="1" applyAlignment="1">
      <alignment horizontal="center" vertical="top" wrapText="1"/>
    </xf>
    <xf numFmtId="0" fontId="12" fillId="0" borderId="0" xfId="0" applyFont="1" applyAlignment="1">
      <alignment vertical="top" wrapText="1"/>
    </xf>
    <xf numFmtId="0" fontId="8" fillId="0" borderId="0" xfId="0" applyFont="1" applyAlignment="1">
      <alignment vertical="top" wrapText="1"/>
    </xf>
    <xf numFmtId="0" fontId="11" fillId="9" borderId="1" xfId="0" applyFont="1" applyFill="1" applyBorder="1" applyAlignment="1">
      <alignment vertical="top" wrapText="1"/>
    </xf>
    <xf numFmtId="0" fontId="6" fillId="5" borderId="0" xfId="1" applyFont="1" applyFill="1" applyAlignment="1">
      <alignment vertical="center" wrapText="1"/>
    </xf>
    <xf numFmtId="0" fontId="4" fillId="0" borderId="0" xfId="1" applyFont="1" applyAlignment="1">
      <alignment vertical="center" wrapText="1"/>
    </xf>
    <xf numFmtId="0" fontId="0" fillId="0" borderId="0" xfId="0" applyAlignment="1">
      <alignment vertical="center"/>
    </xf>
    <xf numFmtId="0" fontId="0" fillId="0" borderId="0" xfId="0" applyAlignment="1">
      <alignment vertical="center" wrapText="1"/>
    </xf>
    <xf numFmtId="0" fontId="7" fillId="6" borderId="0" xfId="1" applyFont="1" applyFill="1" applyAlignment="1">
      <alignment horizontal="center" vertical="top" wrapText="1"/>
    </xf>
    <xf numFmtId="0" fontId="13" fillId="2" borderId="0" xfId="1" applyFont="1" applyFill="1" applyAlignment="1">
      <alignment horizontal="center" vertical="top" wrapText="1"/>
    </xf>
    <xf numFmtId="0" fontId="1" fillId="2" borderId="0" xfId="1" applyFont="1" applyFill="1" applyAlignment="1">
      <alignment horizontal="left" vertical="top" wrapText="1"/>
    </xf>
    <xf numFmtId="0" fontId="2" fillId="3" borderId="0" xfId="1" applyFont="1" applyFill="1" applyAlignment="1">
      <alignment horizontal="left" vertical="top" wrapText="1"/>
    </xf>
    <xf numFmtId="0" fontId="5" fillId="2" borderId="0" xfId="1" applyFont="1" applyFill="1" applyAlignment="1">
      <alignment vertical="top" wrapText="1"/>
    </xf>
    <xf numFmtId="0" fontId="4" fillId="8" borderId="0" xfId="1" applyFont="1" applyFill="1" applyAlignment="1">
      <alignment vertical="top" wrapText="1"/>
    </xf>
  </cellXfs>
  <cellStyles count="2">
    <cellStyle name="Normal" xfId="1" xr:uid="{00000000-0005-0000-0000-000000000000}"/>
    <cellStyle name="Обычный" xfId="0" builtinId="0"/>
  </cellStyles>
  <dxfs count="125">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vertical="top" textRotation="0" wrapText="1" indent="0" justifyLastLine="0" shrinkToFit="0" readingOrder="0"/>
    </dxf>
    <dxf>
      <alignment horizontal="general" vertical="center"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c:style val="2"/>
  <c:chart>
    <c:title>
      <c:tx>
        <c:rich>
          <a:bodyPr/>
          <a:lstStyle/>
          <a:p>
            <a:r>
              <a:rPr lang="ru-RU"/>
              <a:t>Распределение требований по Кано</a:t>
            </a:r>
          </a:p>
        </c:rich>
      </c:tx>
      <c:overlay val="0"/>
    </c:title>
    <c:autoTitleDeleted val="0"/>
    <c:plotArea>
      <c:layout/>
      <c:barChart>
        <c:barDir val="col"/>
        <c:grouping val="clustered"/>
        <c:varyColors val="0"/>
        <c:ser>
          <c:idx val="0"/>
          <c:order val="0"/>
          <c:tx>
            <c:v>Количество</c:v>
          </c:tx>
          <c:invertIfNegative val="1"/>
          <c:cat>
            <c:strRef>
              <c:f>'09_Дашборд'!$F$5:$F$10</c:f>
              <c:strCache>
                <c:ptCount val="6"/>
                <c:pt idx="0">
                  <c:v>Обязательное</c:v>
                </c:pt>
                <c:pt idx="1">
                  <c:v>Линейное</c:v>
                </c:pt>
                <c:pt idx="2">
                  <c:v>Привлекательное</c:v>
                </c:pt>
                <c:pt idx="3">
                  <c:v>Безразличное</c:v>
                </c:pt>
                <c:pt idx="4">
                  <c:v>Обратное</c:v>
                </c:pt>
                <c:pt idx="5">
                  <c:v>Неясное</c:v>
                </c:pt>
              </c:strCache>
            </c:strRef>
          </c:cat>
          <c:val>
            <c:numRef>
              <c:f>'09_Дашборд'!$G$5:$G$10</c:f>
              <c:numCache>
                <c:formatCode>General</c:formatCode>
                <c:ptCount val="6"/>
                <c:pt idx="0">
                  <c:v>7</c:v>
                </c:pt>
                <c:pt idx="1">
                  <c:v>11</c:v>
                </c:pt>
                <c:pt idx="2">
                  <c:v>9</c:v>
                </c:pt>
                <c:pt idx="3">
                  <c:v>4</c:v>
                </c:pt>
                <c:pt idx="4">
                  <c:v>0</c:v>
                </c:pt>
                <c:pt idx="5">
                  <c:v>2</c:v>
                </c:pt>
              </c:numCache>
            </c:numRef>
          </c:val>
          <c:extLst>
            <c:ext xmlns:c16="http://schemas.microsoft.com/office/drawing/2014/chart" uri="{C3380CC4-5D6E-409C-BE32-E72D297353CC}">
              <c16:uniqueId val="{00000000-8345-4950-8C7C-DDD38C99B4A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c:style val="2"/>
  <c:chart>
    <c:title>
      <c:tx>
        <c:rich>
          <a:bodyPr/>
          <a:lstStyle/>
          <a:p>
            <a:r>
              <a:rPr lang="ru-RU"/>
              <a:t>Итоговые баллы конкурентов</a:t>
            </a:r>
          </a:p>
        </c:rich>
      </c:tx>
      <c:overlay val="0"/>
    </c:title>
    <c:autoTitleDeleted val="0"/>
    <c:plotArea>
      <c:layout/>
      <c:barChart>
        <c:barDir val="col"/>
        <c:grouping val="clustered"/>
        <c:varyColors val="0"/>
        <c:ser>
          <c:idx val="0"/>
          <c:order val="0"/>
          <c:tx>
            <c:v>C02</c:v>
          </c:tx>
          <c:invertIfNegative val="1"/>
          <c:cat>
            <c:numRef>
              <c:f>'09_Дашборд'!$A$16</c:f>
              <c:numCache>
                <c:formatCode>General</c:formatCode>
                <c:ptCount val="1"/>
                <c:pt idx="0">
                  <c:v>3.28</c:v>
                </c:pt>
              </c:numCache>
            </c:numRef>
          </c:cat>
          <c:val>
            <c:numRef>
              <c:f>'09_Дашборд'!$B$16</c:f>
              <c:numCache>
                <c:formatCode>General</c:formatCode>
                <c:ptCount val="1"/>
                <c:pt idx="0">
                  <c:v>3.35</c:v>
                </c:pt>
              </c:numCache>
            </c:numRef>
          </c:val>
          <c:extLst>
            <c:ext xmlns:c16="http://schemas.microsoft.com/office/drawing/2014/chart" uri="{C3380CC4-5D6E-409C-BE32-E72D297353CC}">
              <c16:uniqueId val="{00000000-896C-40E1-8001-A99EFCE1E2ED}"/>
            </c:ext>
          </c:extLst>
        </c:ser>
        <c:ser>
          <c:idx val="1"/>
          <c:order val="1"/>
          <c:tx>
            <c:v>C03</c:v>
          </c:tx>
          <c:invertIfNegative val="1"/>
          <c:cat>
            <c:numRef>
              <c:f>'09_Дашборд'!$A$16</c:f>
              <c:numCache>
                <c:formatCode>General</c:formatCode>
                <c:ptCount val="1"/>
                <c:pt idx="0">
                  <c:v>3.28</c:v>
                </c:pt>
              </c:numCache>
            </c:numRef>
          </c:cat>
          <c:val>
            <c:numRef>
              <c:f>'09_Дашборд'!$C$16</c:f>
              <c:numCache>
                <c:formatCode>General</c:formatCode>
                <c:ptCount val="1"/>
                <c:pt idx="0">
                  <c:v>4.4800000000000004</c:v>
                </c:pt>
              </c:numCache>
            </c:numRef>
          </c:val>
          <c:extLst>
            <c:ext xmlns:c16="http://schemas.microsoft.com/office/drawing/2014/chart" uri="{C3380CC4-5D6E-409C-BE32-E72D297353CC}">
              <c16:uniqueId val="{00000001-896C-40E1-8001-A99EFCE1E2ED}"/>
            </c:ext>
          </c:extLst>
        </c:ser>
        <c:ser>
          <c:idx val="2"/>
          <c:order val="2"/>
          <c:tx>
            <c:v>C04</c:v>
          </c:tx>
          <c:invertIfNegative val="1"/>
          <c:cat>
            <c:numRef>
              <c:f>'09_Дашборд'!$A$16</c:f>
              <c:numCache>
                <c:formatCode>General</c:formatCode>
                <c:ptCount val="1"/>
                <c:pt idx="0">
                  <c:v>3.28</c:v>
                </c:pt>
              </c:numCache>
            </c:numRef>
          </c:cat>
          <c:val>
            <c:numRef>
              <c:f>'09_Дашборд'!$D$16</c:f>
              <c:numCache>
                <c:formatCode>General</c:formatCode>
                <c:ptCount val="1"/>
                <c:pt idx="0">
                  <c:v>4.26</c:v>
                </c:pt>
              </c:numCache>
            </c:numRef>
          </c:val>
          <c:extLst>
            <c:ext xmlns:c16="http://schemas.microsoft.com/office/drawing/2014/chart" uri="{C3380CC4-5D6E-409C-BE32-E72D297353CC}">
              <c16:uniqueId val="{00000002-896C-40E1-8001-A99EFCE1E2ED}"/>
            </c:ext>
          </c:extLst>
        </c:ser>
        <c:ser>
          <c:idx val="3"/>
          <c:order val="3"/>
          <c:tx>
            <c:v>C05</c:v>
          </c:tx>
          <c:invertIfNegative val="1"/>
          <c:cat>
            <c:numRef>
              <c:f>'09_Дашборд'!$A$16</c:f>
              <c:numCache>
                <c:formatCode>General</c:formatCode>
                <c:ptCount val="1"/>
                <c:pt idx="0">
                  <c:v>3.28</c:v>
                </c:pt>
              </c:numCache>
            </c:numRef>
          </c:cat>
          <c:val>
            <c:numRef>
              <c:f>'09_Дашборд'!$E$16</c:f>
              <c:numCache>
                <c:formatCode>General</c:formatCode>
                <c:ptCount val="1"/>
                <c:pt idx="0">
                  <c:v>4.01</c:v>
                </c:pt>
              </c:numCache>
            </c:numRef>
          </c:val>
          <c:extLst>
            <c:ext xmlns:c16="http://schemas.microsoft.com/office/drawing/2014/chart" uri="{C3380CC4-5D6E-409C-BE32-E72D297353CC}">
              <c16:uniqueId val="{00000003-896C-40E1-8001-A99EFCE1E2ED}"/>
            </c:ext>
          </c:extLst>
        </c:ser>
        <c:ser>
          <c:idx val="4"/>
          <c:order val="4"/>
          <c:tx>
            <c:v>C06</c:v>
          </c:tx>
          <c:invertIfNegative val="1"/>
          <c:cat>
            <c:numRef>
              <c:f>'09_Дашборд'!$A$16</c:f>
              <c:numCache>
                <c:formatCode>General</c:formatCode>
                <c:ptCount val="1"/>
                <c:pt idx="0">
                  <c:v>3.28</c:v>
                </c:pt>
              </c:numCache>
            </c:numRef>
          </c:cat>
          <c:val>
            <c:numRef>
              <c:f>'09_Дашборд'!$F$16</c:f>
              <c:numCache>
                <c:formatCode>General</c:formatCode>
                <c:ptCount val="1"/>
                <c:pt idx="0">
                  <c:v>4.6399999999999997</c:v>
                </c:pt>
              </c:numCache>
            </c:numRef>
          </c:val>
          <c:extLst>
            <c:ext xmlns:c16="http://schemas.microsoft.com/office/drawing/2014/chart" uri="{C3380CC4-5D6E-409C-BE32-E72D297353CC}">
              <c16:uniqueId val="{00000004-896C-40E1-8001-A99EFCE1E2ED}"/>
            </c:ext>
          </c:extLst>
        </c:ser>
        <c:ser>
          <c:idx val="5"/>
          <c:order val="5"/>
          <c:tx>
            <c:v>C07</c:v>
          </c:tx>
          <c:invertIfNegative val="1"/>
          <c:cat>
            <c:numRef>
              <c:f>'09_Дашборд'!$A$16</c:f>
              <c:numCache>
                <c:formatCode>General</c:formatCode>
                <c:ptCount val="1"/>
                <c:pt idx="0">
                  <c:v>3.28</c:v>
                </c:pt>
              </c:numCache>
            </c:numRef>
          </c:cat>
          <c:val>
            <c:numRef>
              <c:f>'09_Дашборд'!$G$16</c:f>
              <c:numCache>
                <c:formatCode>General</c:formatCode>
                <c:ptCount val="1"/>
                <c:pt idx="0">
                  <c:v>4.46</c:v>
                </c:pt>
              </c:numCache>
            </c:numRef>
          </c:val>
          <c:extLst>
            <c:ext xmlns:c16="http://schemas.microsoft.com/office/drawing/2014/chart" uri="{C3380CC4-5D6E-409C-BE32-E72D297353CC}">
              <c16:uniqueId val="{00000005-896C-40E1-8001-A99EFCE1E2ED}"/>
            </c:ext>
          </c:extLst>
        </c:ser>
        <c:ser>
          <c:idx val="6"/>
          <c:order val="6"/>
          <c:tx>
            <c:v>C08</c:v>
          </c:tx>
          <c:invertIfNegative val="1"/>
          <c:cat>
            <c:numRef>
              <c:f>'09_Дашборд'!$A$16</c:f>
              <c:numCache>
                <c:formatCode>General</c:formatCode>
                <c:ptCount val="1"/>
                <c:pt idx="0">
                  <c:v>3.28</c:v>
                </c:pt>
              </c:numCache>
            </c:numRef>
          </c:cat>
          <c:val>
            <c:numRef>
              <c:f>'09_Дашборд'!$H$16</c:f>
              <c:numCache>
                <c:formatCode>General</c:formatCode>
                <c:ptCount val="1"/>
                <c:pt idx="0">
                  <c:v>4.05</c:v>
                </c:pt>
              </c:numCache>
            </c:numRef>
          </c:val>
          <c:extLst>
            <c:ext xmlns:c16="http://schemas.microsoft.com/office/drawing/2014/chart" uri="{C3380CC4-5D6E-409C-BE32-E72D297353CC}">
              <c16:uniqueId val="{00000006-896C-40E1-8001-A99EFCE1E2E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639536</xdr:colOff>
      <xdr:row>26</xdr:row>
      <xdr:rowOff>149680</xdr:rowOff>
    </xdr:from>
    <xdr:to>
      <xdr:col>18</xdr:col>
      <xdr:colOff>353785</xdr:colOff>
      <xdr:row>48</xdr:row>
      <xdr:rowOff>40822</xdr:rowOff>
    </xdr:to>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190500</xdr:colOff>
      <xdr:row>26</xdr:row>
      <xdr:rowOff>122464</xdr:rowOff>
    </xdr:from>
    <xdr:to>
      <xdr:col>8</xdr:col>
      <xdr:colOff>190500</xdr:colOff>
      <xdr:row>42</xdr:row>
      <xdr:rowOff>122464</xdr:rowOff>
    </xdr:to>
    <xdr:graphicFrame macro="">
      <xdr:nvGraphicFramePr>
        <xdr:cNvPr id="3" name="Chart">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petitorsTable" displayName="CompetitorsTable" ref="A3:K11" headerRowDxfId="124" dataDxfId="123" totalsRowDxfId="122">
  <tableColumns count="11">
    <tableColumn id="1" xr3:uid="{00000000-0010-0000-0000-000001000000}" name="ID" dataDxfId="121"/>
    <tableColumn id="2" xr3:uid="{00000000-0010-0000-0000-000002000000}" name="Наименование конкурента" dataDxfId="120"/>
    <tableColumn id="3" xr3:uid="{00000000-0010-0000-0000-000003000000}" name="Сайт" dataDxfId="119"/>
    <tableColumn id="4" xr3:uid="{00000000-0010-0000-0000-000004000000}" name="Страна/рынок" dataDxfId="118"/>
    <tableColumn id="5" xr3:uid="{00000000-0010-0000-0000-000005000000}" name="Тип конкурента" dataDxfId="117"/>
    <tableColumn id="6" xr3:uid="{00000000-0010-0000-0000-000006000000}" name="Сегмент аудитории" dataDxfId="116"/>
    <tableColumn id="7" xr3:uid="{00000000-0010-0000-0000-000007000000}" name="Модель монетизации" dataDxfId="115"/>
    <tableColumn id="8" xr3:uid="{00000000-0010-0000-0000-000008000000}" name="Цифровой товар по сайту" dataDxfId="114"/>
    <tableColumn id="9" xr3:uid="{00000000-0010-0000-0000-000009000000}" name="Приоритет анализа" dataDxfId="113"/>
    <tableColumn id="10" xr3:uid="{00000000-0010-0000-0000-00000A000000}" name="Статус" dataDxfId="112"/>
    <tableColumn id="11" xr3:uid="{00000000-0010-0000-0000-00000B000000}" name="Комментарий" dataDxfId="1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iteMapTable" displayName="SiteMapTable" ref="A3:J43" headerRowDxfId="110" dataDxfId="109" totalsRowDxfId="108">
  <tableColumns count="10">
    <tableColumn id="1" xr3:uid="{00000000-0010-0000-0100-000001000000}" name="ID конкурента" dataDxfId="107"/>
    <tableColumn id="2" xr3:uid="{00000000-0010-0000-0100-000002000000}" name="Раздел/страница" dataDxfId="106"/>
    <tableColumn id="3" xr3:uid="{00000000-0010-0000-0100-000003000000}" name="URL" dataDxfId="105"/>
    <tableColumn id="4" xr3:uid="{00000000-0010-0000-0100-000004000000}" name="Тип страницы" dataDxfId="104"/>
    <tableColumn id="5" xr3:uid="{00000000-0010-0000-0100-000005000000}" name="Цель анализа" dataDxfId="103"/>
    <tableColumn id="6" xr3:uid="{00000000-0010-0000-0100-000006000000}" name="Что извлекаем" dataDxfId="102"/>
    <tableColumn id="7" xr3:uid="{00000000-0010-0000-0100-000007000000}" name="Дата просмотра" dataDxfId="101"/>
    <tableColumn id="8" xr3:uid="{00000000-0010-0000-0100-000008000000}" name="Скриншот/архив" dataDxfId="100"/>
    <tableColumn id="9" xr3:uid="{00000000-0010-0000-0100-000009000000}" name="Достоверность 1–5" dataDxfId="99"/>
    <tableColumn id="10" xr3:uid="{00000000-0010-0000-0100-00000A000000}" name="Краткий вывод" dataDxfId="9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vittTable" displayName="LevittTable" ref="A3:N156" headerRowDxfId="97" dataDxfId="96" totalsRowDxfId="95">
  <tableColumns count="14">
    <tableColumn id="1" xr3:uid="{00000000-0010-0000-0200-000001000000}" name="ID конкурента" dataDxfId="94"/>
    <tableColumn id="2" xr3:uid="{00000000-0010-0000-0200-000002000000}" name="Товар/предложение" dataDxfId="93"/>
    <tableColumn id="3" xr3:uid="{00000000-0010-0000-0200-000003000000}" name="URL/страница" dataDxfId="92"/>
    <tableColumn id="4" xr3:uid="{00000000-0010-0000-0200-000004000000}" name="Уровень товара по Левитту" dataDxfId="91"/>
    <tableColumn id="5" xr3:uid="{00000000-0010-0000-0200-000005000000}" name="Элемент товара / признак" dataDxfId="90"/>
    <tableColumn id="6" xr3:uid="{00000000-0010-0000-0200-000006000000}" name="Как проявлен на сайте" dataDxfId="89"/>
    <tableColumn id="7" xr3:uid="{00000000-0010-0000-0200-000007000000}" name="Доказательство" dataDxfId="88"/>
    <tableColumn id="8" xr3:uid="{00000000-0010-0000-0200-000008000000}" name="Наличие 0/1" dataDxfId="87"/>
    <tableColumn id="9" xr3:uid="{00000000-0010-0000-0200-000009000000}" name="Сила реализации 0–3" dataDxfId="86"/>
    <tableColumn id="10" xr3:uid="{00000000-0010-0000-0200-00000A000000}" name="Понятность 0–3" dataDxfId="85"/>
    <tableColumn id="11" xr3:uid="{00000000-0010-0000-0200-00000B000000}" name="Влияние на ценность 1–5" dataDxfId="84"/>
    <tableColumn id="12" xr3:uid="{00000000-0010-0000-0200-00000C000000}" name="Оценка признака" dataDxfId="83"/>
    <tableColumn id="13" xr3:uid="{00000000-0010-0000-0200-00000D000000}" name="Роль признака" dataDxfId="82"/>
    <tableColumn id="14" xr3:uid="{00000000-0010-0000-0200-00000E000000}" name="Примечание" dataDxfId="8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KanoTable" displayName="KanoTable" ref="A3:M36" headerRowDxfId="80" dataDxfId="79" totalsRowDxfId="78">
  <tableColumns count="13">
    <tableColumn id="1" xr3:uid="{00000000-0010-0000-0300-000001000000}" name="ID требования" dataDxfId="77"/>
    <tableColumn id="2" xr3:uid="{00000000-0010-0000-0300-000002000000}" name="Функция / признак товара" dataDxfId="76"/>
    <tableColumn id="3" xr3:uid="{00000000-0010-0000-0300-000003000000}" name="Пользовательская задача" dataDxfId="75"/>
    <tableColumn id="4" xr3:uid="{00000000-0010-0000-0300-000004000000}" name="Доказательства с сайтов" dataDxfId="74"/>
    <tableColumn id="5" xr3:uid="{00000000-0010-0000-0300-000005000000}" name="Категория Кано" dataDxfId="73"/>
    <tableColumn id="6" xr3:uid="{00000000-0010-0000-0300-000006000000}" name="Вес 1–5" dataDxfId="72"/>
    <tableColumn id="7" xr3:uid="{00000000-0010-0000-0300-000007000000}" name="Кол-во конкурентов с признаком" dataDxfId="71"/>
    <tableColumn id="8" xr3:uid="{00000000-0010-0000-0300-000008000000}" name="Доля конкурентов" dataDxfId="70"/>
    <tableColumn id="9" xr3:uid="{00000000-0010-0000-0300-000009000000}" name="Средняя сила реализации 0–5" dataDxfId="69"/>
    <tableColumn id="10" xr3:uid="{00000000-0010-0000-0300-00000A000000}" name="Интерпретация" dataDxfId="68"/>
    <tableColumn id="11" xr3:uid="{00000000-0010-0000-0300-00000B000000}" name="Решение для своего товара" dataDxfId="67"/>
    <tableColumn id="12" xr3:uid="{00000000-0010-0000-0300-00000C000000}" name="Ответственный" dataDxfId="66"/>
    <tableColumn id="13" xr3:uid="{00000000-0010-0000-0300-00000D000000}" name="Примечание" dataDxfId="6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oductMatrixTable" displayName="ProductMatrixTable" ref="A3:L15" headerRowDxfId="64" dataDxfId="63" totalsRowDxfId="62">
  <tableColumns count="12">
    <tableColumn id="1" xr3:uid="{00000000-0010-0000-0400-000001000000}" name="Блок определения" dataDxfId="61"/>
    <tableColumn id="2" xr3:uid="{00000000-0010-0000-0400-000002000000}" name="Вопрос для анализа" dataDxfId="60"/>
    <tableColumn id="3" xr3:uid="{00000000-0010-0000-0400-000003000000}" name="Вывод по рынку" dataDxfId="59"/>
    <tableColumn id="4" xr3:uid="{00000000-0010-0000-0400-000004000000}" name="Доказательства" dataDxfId="58"/>
    <tableColumn id="5" xr3:uid="{00000000-0010-0000-0400-000005000000}" name="Связь с Левиттом" dataDxfId="57"/>
    <tableColumn id="6" xr3:uid="{00000000-0010-0000-0400-000006000000}" name="Связь с Кано" dataDxfId="56"/>
    <tableColumn id="7" xr3:uid="{00000000-0010-0000-0400-000007000000}" name="Статус для своего товара" dataDxfId="55"/>
    <tableColumn id="8" xr3:uid="{00000000-0010-0000-0400-000008000000}" name="Минимальная реализация" dataDxfId="54"/>
    <tableColumn id="9" xr3:uid="{00000000-0010-0000-0400-000009000000}" name="Расширенная реализация" dataDxfId="53"/>
    <tableColumn id="10" xr3:uid="{00000000-0010-0000-0400-00000A000000}" name="Риск исключения" dataDxfId="52"/>
    <tableColumn id="11" xr3:uid="{00000000-0010-0000-0400-00000B000000}" name="Решение" dataDxfId="51"/>
    <tableColumn id="12" xr3:uid="{00000000-0010-0000-0400-00000C000000}" name="Комментарий" dataDxfId="5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parisonTable" displayName="ComparisonTable" ref="A3:O28" headerRowDxfId="49" dataDxfId="48" totalsRowDxfId="47">
  <tableColumns count="15">
    <tableColumn id="1" xr3:uid="{00000000-0010-0000-0500-000001000000}" name="ID критерия" dataDxfId="46"/>
    <tableColumn id="2" xr3:uid="{00000000-0010-0000-0500-000002000000}" name="Группа" dataDxfId="45"/>
    <tableColumn id="3" xr3:uid="{00000000-0010-0000-0500-000003000000}" name="Критерий" dataDxfId="44"/>
    <tableColumn id="4" xr3:uid="{00000000-0010-0000-0500-000004000000}" name="Вес" dataDxfId="43"/>
    <tableColumn id="5" xr3:uid="{00000000-0010-0000-0500-000005000000}" name="C01" dataDxfId="42"/>
    <tableColumn id="6" xr3:uid="{00000000-0010-0000-0500-000006000000}" name="C02" dataDxfId="41"/>
    <tableColumn id="7" xr3:uid="{00000000-0010-0000-0500-000007000000}" name="C03" dataDxfId="40"/>
    <tableColumn id="8" xr3:uid="{00000000-0010-0000-0500-000008000000}" name="C04" dataDxfId="39"/>
    <tableColumn id="9" xr3:uid="{00000000-0010-0000-0500-000009000000}" name="C05" dataDxfId="38"/>
    <tableColumn id="10" xr3:uid="{00000000-0010-0000-0500-00000A000000}" name="C06" dataDxfId="37"/>
    <tableColumn id="11" xr3:uid="{00000000-0010-0000-0500-00000B000000}" name="C07" dataDxfId="36"/>
    <tableColumn id="12" xr3:uid="{00000000-0010-0000-0500-00000C000000}" name="C08" dataDxfId="35"/>
    <tableColumn id="13" xr3:uid="{00000000-0010-0000-0500-00000D000000}" name="Среднее" dataDxfId="34"/>
    <tableColumn id="14" xr3:uid="{00000000-0010-0000-0500-00000E000000}" name="Лучший балл" dataDxfId="33"/>
    <tableColumn id="15" xr3:uid="{00000000-0010-0000-0500-00000F000000}" name="Лидер" dataDxfId="3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arketStandardTable" displayName="MarketStandardTable" ref="A3:L32" headerRowDxfId="31" dataDxfId="30" totalsRowDxfId="29">
  <tableColumns count="12">
    <tableColumn id="1" xr3:uid="{00000000-0010-0000-0600-000001000000}" name="ID признака" dataDxfId="28"/>
    <tableColumn id="2" xr3:uid="{00000000-0010-0000-0600-000002000000}" name="Признак / требование" dataDxfId="27"/>
    <tableColumn id="3" xr3:uid="{00000000-0010-0000-0600-000003000000}" name="Источник" dataDxfId="26"/>
    <tableColumn id="4" xr3:uid="{00000000-0010-0000-0600-000004000000}" name="Уровень Левитта" dataDxfId="25"/>
    <tableColumn id="5" xr3:uid="{00000000-0010-0000-0600-000005000000}" name="Категория Кано" dataDxfId="24"/>
    <tableColumn id="6" xr3:uid="{00000000-0010-0000-0600-000006000000}" name="Кол-во конкурентов" dataDxfId="23"/>
    <tableColumn id="7" xr3:uid="{00000000-0010-0000-0600-000007000000}" name="Доля конкурентов" dataDxfId="22"/>
    <tableColumn id="8" xr3:uid="{00000000-0010-0000-0600-000008000000}" name="Средняя сила 0–5" dataDxfId="21"/>
    <tableColumn id="9" xr3:uid="{00000000-0010-0000-0600-000009000000}" name="Статус" dataDxfId="20"/>
    <tableColumn id="10" xr3:uid="{00000000-0010-0000-0600-00000A000000}" name="Минимальная формулировка стандарта" dataDxfId="19"/>
    <tableColumn id="11" xr3:uid="{00000000-0010-0000-0600-00000B000000}" name="Что проверить дополнительно" dataDxfId="18"/>
    <tableColumn id="12" xr3:uid="{00000000-0010-0000-0600-00000C000000}" name="Комментарий" dataDxfId="1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dvantageTable" displayName="AdvantageTable" ref="A3:N11" headerRowDxfId="16" dataDxfId="15" totalsRowDxfId="14">
  <tableColumns count="14">
    <tableColumn id="1" xr3:uid="{00000000-0010-0000-0700-000001000000}" name="ID" dataDxfId="13"/>
    <tableColumn id="2" xr3:uid="{00000000-0010-0000-0700-000002000000}" name="ID конкурента" dataDxfId="12"/>
    <tableColumn id="3" xr3:uid="{00000000-0010-0000-0700-000003000000}" name="Признак преимущества" dataDxfId="11"/>
    <tableColumn id="4" xr3:uid="{00000000-0010-0000-0700-000004000000}" name="Доказательство / URL" dataDxfId="10"/>
    <tableColumn id="5" xr3:uid="{00000000-0010-0000-0700-000005000000}" name="Уровень Левитта" dataDxfId="9"/>
    <tableColumn id="6" xr3:uid="{00000000-0010-0000-0700-000006000000}" name="Категория Кано" dataDxfId="8"/>
    <tableColumn id="7" xr3:uid="{00000000-0010-0000-0700-000007000000}" name="Тип преимущества" dataDxfId="7"/>
    <tableColumn id="8" xr3:uid="{00000000-0010-0000-0700-000008000000}" name="Редкость 1–5" dataDxfId="6"/>
    <tableColumn id="9" xr3:uid="{00000000-0010-0000-0700-000009000000}" name="Сила 1–5" dataDxfId="5"/>
    <tableColumn id="10" xr3:uid="{00000000-0010-0000-0700-00000A000000}" name="Пользовательская ценность 1–5" dataDxfId="4"/>
    <tableColumn id="11" xr3:uid="{00000000-0010-0000-0700-00000B000000}" name="Качество доказательства 1–5" dataDxfId="3"/>
    <tableColumn id="12" xr3:uid="{00000000-0010-0000-0700-00000C000000}" name="Индекс преимущества" dataDxfId="2"/>
    <tableColumn id="13" xr3:uid="{00000000-0010-0000-0700-00000D000000}" name="Вывод" dataDxfId="1"/>
    <tableColumn id="14" xr3:uid="{00000000-0010-0000-0700-00000E000000}" name="Как использовать для своего товара"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abSelected="1" topLeftCell="C1" workbookViewId="0">
      <selection activeCell="G27" sqref="G27"/>
    </sheetView>
  </sheetViews>
  <sheetFormatPr defaultRowHeight="14.25"/>
  <cols>
    <col min="1" max="1" width="40.625" customWidth="1"/>
    <col min="2" max="2" width="60.625" customWidth="1"/>
    <col min="3" max="3" width="55.625" customWidth="1"/>
    <col min="4" max="5" width="14" customWidth="1"/>
    <col min="6" max="6" width="14.625" customWidth="1"/>
    <col min="7" max="7" width="15.625" customWidth="1"/>
    <col min="8" max="9" width="55.625" customWidth="1"/>
  </cols>
  <sheetData>
    <row r="1" spans="1:9" ht="20.25">
      <c r="A1" s="22" t="s">
        <v>0</v>
      </c>
      <c r="B1" s="22"/>
      <c r="C1" s="22"/>
      <c r="D1" s="22"/>
      <c r="E1" s="22"/>
      <c r="F1" s="22"/>
      <c r="G1" s="22"/>
      <c r="H1" s="22"/>
      <c r="I1" s="22"/>
    </row>
    <row r="2" spans="1:9" ht="15" customHeight="1">
      <c r="A2" s="23" t="s">
        <v>798</v>
      </c>
      <c r="B2" s="23"/>
      <c r="C2" s="23"/>
      <c r="D2" s="23"/>
      <c r="E2" s="23"/>
      <c r="F2" s="23"/>
      <c r="G2" s="23"/>
      <c r="H2" s="23"/>
      <c r="I2" s="23"/>
    </row>
    <row r="3" spans="1:9">
      <c r="A3" s="8"/>
      <c r="B3" s="8"/>
      <c r="C3" s="8"/>
      <c r="D3" s="8"/>
      <c r="E3" s="8"/>
      <c r="F3" s="8"/>
      <c r="G3" s="8"/>
      <c r="H3" s="8"/>
      <c r="I3" s="8"/>
    </row>
    <row r="4" spans="1:9">
      <c r="A4" s="9" t="s">
        <v>1</v>
      </c>
      <c r="B4" s="9" t="s">
        <v>2</v>
      </c>
      <c r="C4" s="9" t="s">
        <v>3</v>
      </c>
      <c r="D4" s="8"/>
      <c r="E4" s="8"/>
      <c r="F4" s="8"/>
      <c r="G4" s="8"/>
      <c r="H4" s="8"/>
      <c r="I4" s="8"/>
    </row>
    <row r="5" spans="1:9" ht="25.5">
      <c r="A5" s="1" t="s">
        <v>4</v>
      </c>
      <c r="B5" s="1" t="s">
        <v>799</v>
      </c>
      <c r="C5" s="1" t="s">
        <v>800</v>
      </c>
      <c r="D5" s="8"/>
      <c r="E5" s="8"/>
      <c r="F5" s="8"/>
      <c r="G5" s="8"/>
      <c r="H5" s="8"/>
      <c r="I5" s="8"/>
    </row>
    <row r="6" spans="1:9" ht="38.25">
      <c r="A6" s="1" t="s">
        <v>5</v>
      </c>
      <c r="B6" s="1" t="s">
        <v>801</v>
      </c>
      <c r="C6" s="1" t="s">
        <v>802</v>
      </c>
      <c r="D6" s="8"/>
      <c r="E6" s="8"/>
      <c r="F6" s="8"/>
      <c r="G6" s="8"/>
      <c r="H6" s="8"/>
      <c r="I6" s="8"/>
    </row>
    <row r="7" spans="1:9" ht="25.5">
      <c r="A7" s="1" t="s">
        <v>6</v>
      </c>
      <c r="B7" s="1" t="s">
        <v>803</v>
      </c>
      <c r="C7" s="1" t="s">
        <v>804</v>
      </c>
      <c r="D7" s="8"/>
      <c r="E7" s="8"/>
      <c r="F7" s="8"/>
      <c r="G7" s="8"/>
      <c r="H7" s="8"/>
      <c r="I7" s="8"/>
    </row>
    <row r="8" spans="1:9" ht="25.5">
      <c r="A8" s="1" t="s">
        <v>7</v>
      </c>
      <c r="B8" s="1" t="s">
        <v>805</v>
      </c>
      <c r="C8" s="1" t="s">
        <v>806</v>
      </c>
      <c r="D8" s="8"/>
      <c r="E8" s="8"/>
      <c r="F8" s="8"/>
      <c r="G8" s="8"/>
      <c r="H8" s="8"/>
      <c r="I8" s="8"/>
    </row>
    <row r="9" spans="1:9" ht="25.5">
      <c r="A9" s="1" t="s">
        <v>8</v>
      </c>
      <c r="B9" s="1" t="s">
        <v>807</v>
      </c>
      <c r="C9" s="1" t="s">
        <v>808</v>
      </c>
      <c r="D9" s="8"/>
      <c r="E9" s="8"/>
      <c r="F9" s="8"/>
      <c r="G9" s="8"/>
      <c r="H9" s="8"/>
      <c r="I9" s="8"/>
    </row>
    <row r="10" spans="1:9" ht="38.25">
      <c r="A10" s="1" t="s">
        <v>9</v>
      </c>
      <c r="B10" s="1" t="s">
        <v>809</v>
      </c>
      <c r="C10" s="1" t="s">
        <v>810</v>
      </c>
      <c r="D10" s="8"/>
      <c r="E10" s="8"/>
      <c r="F10" s="8"/>
      <c r="G10" s="8"/>
      <c r="H10" s="8"/>
      <c r="I10" s="8"/>
    </row>
    <row r="11" spans="1:9" ht="25.5">
      <c r="A11" s="1" t="s">
        <v>10</v>
      </c>
      <c r="B11" s="1" t="s">
        <v>811</v>
      </c>
      <c r="C11" s="1" t="s">
        <v>812</v>
      </c>
      <c r="D11" s="8"/>
      <c r="E11" s="8"/>
      <c r="F11" s="8"/>
      <c r="G11" s="8"/>
      <c r="H11" s="8"/>
      <c r="I11" s="8"/>
    </row>
    <row r="12" spans="1:9" ht="38.25">
      <c r="A12" s="1" t="s">
        <v>11</v>
      </c>
      <c r="B12" s="1" t="s">
        <v>813</v>
      </c>
      <c r="C12" s="1" t="s">
        <v>814</v>
      </c>
      <c r="D12" s="8"/>
      <c r="E12" s="8"/>
      <c r="F12" s="8"/>
      <c r="G12" s="8"/>
      <c r="H12" s="8"/>
      <c r="I12" s="8"/>
    </row>
    <row r="13" spans="1:9">
      <c r="A13" s="8"/>
      <c r="B13" s="8"/>
      <c r="C13" s="8"/>
      <c r="D13" s="8"/>
      <c r="E13" s="8"/>
      <c r="F13" s="8"/>
      <c r="G13" s="8"/>
      <c r="H13" s="8"/>
      <c r="I13" s="8"/>
    </row>
    <row r="14" spans="1:9" ht="15">
      <c r="A14" s="24" t="s">
        <v>12</v>
      </c>
      <c r="B14" s="24"/>
      <c r="C14" s="24"/>
      <c r="D14" s="24"/>
      <c r="E14" s="24"/>
      <c r="F14" s="24"/>
      <c r="G14" s="24"/>
      <c r="H14" s="24"/>
      <c r="I14" s="24"/>
    </row>
    <row r="15" spans="1:9">
      <c r="A15" s="9" t="s">
        <v>13</v>
      </c>
      <c r="B15" s="9" t="s">
        <v>14</v>
      </c>
      <c r="C15" s="9" t="s">
        <v>15</v>
      </c>
      <c r="D15" s="9" t="s">
        <v>16</v>
      </c>
      <c r="E15" s="9" t="s">
        <v>17</v>
      </c>
      <c r="F15" s="9" t="s">
        <v>18</v>
      </c>
      <c r="G15" s="9" t="s">
        <v>19</v>
      </c>
      <c r="H15" s="9" t="s">
        <v>20</v>
      </c>
      <c r="I15" s="9" t="s">
        <v>21</v>
      </c>
    </row>
    <row r="16" spans="1:9">
      <c r="A16" s="1" t="s">
        <v>22</v>
      </c>
      <c r="B16" s="1" t="s">
        <v>23</v>
      </c>
      <c r="C16" s="1" t="s">
        <v>24</v>
      </c>
      <c r="D16" s="1" t="s">
        <v>25</v>
      </c>
      <c r="E16" s="1" t="s">
        <v>26</v>
      </c>
      <c r="F16" s="1"/>
      <c r="G16" s="1"/>
      <c r="H16" s="1" t="s">
        <v>27</v>
      </c>
      <c r="I16" s="1" t="s">
        <v>815</v>
      </c>
    </row>
    <row r="17" spans="1:9">
      <c r="A17" s="1" t="s">
        <v>28</v>
      </c>
      <c r="B17" s="1" t="s">
        <v>23</v>
      </c>
      <c r="C17" s="1" t="s">
        <v>29</v>
      </c>
      <c r="D17" s="1" t="s">
        <v>30</v>
      </c>
      <c r="E17" s="1" t="s">
        <v>31</v>
      </c>
      <c r="F17" s="1"/>
      <c r="G17" s="1"/>
      <c r="H17" s="1" t="s">
        <v>32</v>
      </c>
      <c r="I17" s="1" t="s">
        <v>816</v>
      </c>
    </row>
    <row r="18" spans="1:9" ht="25.5">
      <c r="A18" s="1" t="s">
        <v>33</v>
      </c>
      <c r="B18" s="1" t="s">
        <v>23</v>
      </c>
      <c r="C18" s="1" t="s">
        <v>34</v>
      </c>
      <c r="D18" s="1" t="s">
        <v>35</v>
      </c>
      <c r="E18" s="1" t="s">
        <v>36</v>
      </c>
      <c r="F18" s="1" t="s">
        <v>37</v>
      </c>
      <c r="G18" s="1" t="s">
        <v>38</v>
      </c>
      <c r="H18" s="1" t="s">
        <v>39</v>
      </c>
      <c r="I18" s="1" t="s">
        <v>817</v>
      </c>
    </row>
    <row r="19" spans="1:9">
      <c r="A19" s="1" t="s">
        <v>40</v>
      </c>
      <c r="B19" s="1" t="s">
        <v>23</v>
      </c>
      <c r="C19" s="1" t="s">
        <v>41</v>
      </c>
      <c r="D19" s="1" t="s">
        <v>42</v>
      </c>
      <c r="E19" s="1" t="s">
        <v>43</v>
      </c>
      <c r="F19" s="1" t="s">
        <v>44</v>
      </c>
      <c r="G19" s="1" t="s">
        <v>45</v>
      </c>
      <c r="H19" s="1" t="s">
        <v>46</v>
      </c>
      <c r="I19" s="1" t="s">
        <v>818</v>
      </c>
    </row>
  </sheetData>
  <mergeCells count="3">
    <mergeCell ref="A1:I1"/>
    <mergeCell ref="A2:I2"/>
    <mergeCell ref="A14:I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workbookViewId="0">
      <selection activeCell="H18" sqref="H18"/>
    </sheetView>
  </sheetViews>
  <sheetFormatPr defaultRowHeight="14.25"/>
  <cols>
    <col min="1" max="1" width="3.75" bestFit="1" customWidth="1"/>
    <col min="2" max="2" width="28" customWidth="1"/>
    <col min="3" max="3" width="32" customWidth="1"/>
    <col min="4" max="4" width="55.625" customWidth="1"/>
    <col min="5" max="5" width="39.625" customWidth="1"/>
    <col min="6" max="6" width="48.625" customWidth="1"/>
    <col min="7" max="7" width="55.625" customWidth="1"/>
    <col min="8" max="8" width="93" customWidth="1"/>
    <col min="9" max="9" width="18.625" customWidth="1"/>
    <col min="10" max="10" width="18" customWidth="1"/>
    <col min="11" max="11" width="55.625" customWidth="1"/>
  </cols>
  <sheetData>
    <row r="1" spans="1:11" ht="20.25">
      <c r="A1" s="22" t="s">
        <v>47</v>
      </c>
      <c r="B1" s="22"/>
      <c r="C1" s="22"/>
      <c r="D1" s="22"/>
      <c r="E1" s="22"/>
      <c r="F1" s="22"/>
      <c r="G1" s="22"/>
      <c r="H1" s="22"/>
      <c r="I1" s="22"/>
      <c r="J1" s="22"/>
      <c r="K1" s="22"/>
    </row>
    <row r="2" spans="1:11" ht="15" customHeight="1">
      <c r="A2" s="23" t="s">
        <v>819</v>
      </c>
      <c r="B2" s="23"/>
      <c r="C2" s="23"/>
      <c r="D2" s="23"/>
      <c r="E2" s="23"/>
      <c r="F2" s="23"/>
      <c r="G2" s="23"/>
      <c r="H2" s="23"/>
      <c r="I2" s="23"/>
      <c r="J2" s="23"/>
      <c r="K2" s="23"/>
    </row>
    <row r="3" spans="1:11">
      <c r="A3" s="9" t="s">
        <v>48</v>
      </c>
      <c r="B3" s="9" t="s">
        <v>49</v>
      </c>
      <c r="C3" s="9" t="s">
        <v>50</v>
      </c>
      <c r="D3" s="9" t="s">
        <v>51</v>
      </c>
      <c r="E3" s="9" t="s">
        <v>52</v>
      </c>
      <c r="F3" s="9" t="s">
        <v>53</v>
      </c>
      <c r="G3" s="9" t="s">
        <v>54</v>
      </c>
      <c r="H3" s="9" t="s">
        <v>55</v>
      </c>
      <c r="I3" s="9" t="s">
        <v>56</v>
      </c>
      <c r="J3" s="9" t="s">
        <v>57</v>
      </c>
      <c r="K3" s="9" t="s">
        <v>58</v>
      </c>
    </row>
    <row r="4" spans="1:11" s="18" customFormat="1" ht="25.5">
      <c r="A4" s="16" t="s">
        <v>59</v>
      </c>
      <c r="B4" s="17" t="s">
        <v>356</v>
      </c>
      <c r="C4" s="17" t="s">
        <v>357</v>
      </c>
      <c r="D4" s="17" t="s">
        <v>358</v>
      </c>
      <c r="E4" s="17" t="s">
        <v>359</v>
      </c>
      <c r="F4" s="17" t="s">
        <v>360</v>
      </c>
      <c r="G4" s="17" t="s">
        <v>361</v>
      </c>
      <c r="H4" s="17" t="s">
        <v>362</v>
      </c>
      <c r="I4" s="17" t="s">
        <v>363</v>
      </c>
      <c r="J4" s="17" t="s">
        <v>885</v>
      </c>
      <c r="K4" s="17" t="s">
        <v>364</v>
      </c>
    </row>
    <row r="5" spans="1:11" s="18" customFormat="1" ht="25.5">
      <c r="A5" s="16" t="s">
        <v>60</v>
      </c>
      <c r="B5" s="17" t="s">
        <v>365</v>
      </c>
      <c r="C5" s="17" t="s">
        <v>366</v>
      </c>
      <c r="D5" s="17" t="s">
        <v>358</v>
      </c>
      <c r="E5" s="17" t="s">
        <v>367</v>
      </c>
      <c r="F5" s="17" t="s">
        <v>368</v>
      </c>
      <c r="G5" s="17" t="s">
        <v>369</v>
      </c>
      <c r="H5" s="17" t="s">
        <v>370</v>
      </c>
      <c r="I5" s="17" t="s">
        <v>363</v>
      </c>
      <c r="J5" s="17" t="s">
        <v>885</v>
      </c>
      <c r="K5" s="17" t="s">
        <v>364</v>
      </c>
    </row>
    <row r="6" spans="1:11" s="18" customFormat="1" ht="25.5">
      <c r="A6" s="16" t="s">
        <v>61</v>
      </c>
      <c r="B6" s="17" t="s">
        <v>371</v>
      </c>
      <c r="C6" s="17" t="s">
        <v>372</v>
      </c>
      <c r="D6" s="17" t="s">
        <v>373</v>
      </c>
      <c r="E6" s="17" t="s">
        <v>367</v>
      </c>
      <c r="F6" s="17" t="s">
        <v>374</v>
      </c>
      <c r="G6" s="17" t="s">
        <v>776</v>
      </c>
      <c r="H6" s="17" t="s">
        <v>375</v>
      </c>
      <c r="I6" s="17" t="s">
        <v>363</v>
      </c>
      <c r="J6" s="17" t="s">
        <v>885</v>
      </c>
      <c r="K6" s="17" t="s">
        <v>364</v>
      </c>
    </row>
    <row r="7" spans="1:11" s="18" customFormat="1" ht="25.5">
      <c r="A7" s="16" t="s">
        <v>62</v>
      </c>
      <c r="B7" s="17" t="s">
        <v>376</v>
      </c>
      <c r="C7" s="17" t="s">
        <v>377</v>
      </c>
      <c r="D7" s="17" t="s">
        <v>378</v>
      </c>
      <c r="E7" s="17" t="s">
        <v>379</v>
      </c>
      <c r="F7" s="17" t="s">
        <v>380</v>
      </c>
      <c r="G7" s="17" t="s">
        <v>381</v>
      </c>
      <c r="H7" s="17" t="s">
        <v>382</v>
      </c>
      <c r="I7" s="17" t="s">
        <v>383</v>
      </c>
      <c r="J7" s="17" t="s">
        <v>885</v>
      </c>
      <c r="K7" s="17" t="s">
        <v>364</v>
      </c>
    </row>
    <row r="8" spans="1:11" s="18" customFormat="1" ht="25.5">
      <c r="A8" s="16" t="s">
        <v>63</v>
      </c>
      <c r="B8" s="17" t="s">
        <v>384</v>
      </c>
      <c r="C8" s="17" t="s">
        <v>385</v>
      </c>
      <c r="D8" s="17" t="s">
        <v>386</v>
      </c>
      <c r="E8" s="17" t="s">
        <v>387</v>
      </c>
      <c r="F8" s="17" t="s">
        <v>388</v>
      </c>
      <c r="G8" s="17" t="s">
        <v>389</v>
      </c>
      <c r="H8" s="17" t="s">
        <v>390</v>
      </c>
      <c r="I8" s="17" t="s">
        <v>363</v>
      </c>
      <c r="J8" s="17" t="s">
        <v>885</v>
      </c>
      <c r="K8" s="17" t="s">
        <v>364</v>
      </c>
    </row>
    <row r="9" spans="1:11" s="18" customFormat="1" ht="25.5">
      <c r="A9" s="16" t="s">
        <v>64</v>
      </c>
      <c r="B9" s="17" t="s">
        <v>391</v>
      </c>
      <c r="C9" s="17" t="s">
        <v>392</v>
      </c>
      <c r="D9" s="17" t="s">
        <v>393</v>
      </c>
      <c r="E9" s="17" t="s">
        <v>387</v>
      </c>
      <c r="F9" s="17" t="s">
        <v>394</v>
      </c>
      <c r="G9" s="17" t="s">
        <v>777</v>
      </c>
      <c r="H9" s="17" t="s">
        <v>395</v>
      </c>
      <c r="I9" s="17" t="s">
        <v>383</v>
      </c>
      <c r="J9" s="17" t="s">
        <v>885</v>
      </c>
      <c r="K9" s="17" t="s">
        <v>364</v>
      </c>
    </row>
    <row r="10" spans="1:11" s="18" customFormat="1" ht="25.5">
      <c r="A10" s="16" t="s">
        <v>65</v>
      </c>
      <c r="B10" s="17" t="s">
        <v>396</v>
      </c>
      <c r="C10" s="17" t="s">
        <v>397</v>
      </c>
      <c r="D10" s="17" t="s">
        <v>398</v>
      </c>
      <c r="E10" s="17" t="s">
        <v>387</v>
      </c>
      <c r="F10" s="17" t="s">
        <v>399</v>
      </c>
      <c r="G10" s="17" t="s">
        <v>778</v>
      </c>
      <c r="H10" s="17" t="s">
        <v>400</v>
      </c>
      <c r="I10" s="17" t="s">
        <v>363</v>
      </c>
      <c r="J10" s="17" t="s">
        <v>885</v>
      </c>
      <c r="K10" s="17" t="s">
        <v>364</v>
      </c>
    </row>
    <row r="11" spans="1:11" s="18" customFormat="1" ht="25.5">
      <c r="A11" s="16" t="s">
        <v>66</v>
      </c>
      <c r="B11" s="17" t="s">
        <v>401</v>
      </c>
      <c r="C11" s="17" t="s">
        <v>402</v>
      </c>
      <c r="D11" s="17" t="s">
        <v>398</v>
      </c>
      <c r="E11" s="17" t="s">
        <v>379</v>
      </c>
      <c r="F11" s="17" t="s">
        <v>403</v>
      </c>
      <c r="G11" s="17" t="s">
        <v>779</v>
      </c>
      <c r="H11" s="17" t="s">
        <v>404</v>
      </c>
      <c r="I11" s="17" t="s">
        <v>405</v>
      </c>
      <c r="J11" s="17" t="s">
        <v>885</v>
      </c>
      <c r="K11" s="17" t="s">
        <v>364</v>
      </c>
    </row>
  </sheetData>
  <mergeCells count="2">
    <mergeCell ref="A1:K1"/>
    <mergeCell ref="A2:K2"/>
  </mergeCells>
  <dataValidations count="4">
    <dataValidation type="list" sqref="E4:E11" xr:uid="{00000000-0002-0000-0100-000000000000}">
      <formula1>"Прямой конкурент,Косвенный конкурент,Заменитель,Эталон лучшей практики,Смежный рынок"</formula1>
    </dataValidation>
    <dataValidation type="list" sqref="G4:G11" xr:uid="{00000000-0002-0000-0100-000001000000}">
      <formula1>"Разовая покупка,Подписка,Комиссия,Бесплатно + платные функции,Реклама,Лидогенерация,Корпоративная лицензия,Смешанная модель"</formula1>
    </dataValidation>
    <dataValidation type="list" sqref="I4:I11" xr:uid="{00000000-0002-0000-0100-000002000000}">
      <formula1>"1,2,3,4,5"</formula1>
    </dataValidation>
    <dataValidation type="list" sqref="J4:J11" xr:uid="{00000000-0002-0000-0100-000003000000}">
      <formula1>"Не начато,В работе,Проверено,Исключено"</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3"/>
  <sheetViews>
    <sheetView topLeftCell="E1" workbookViewId="0">
      <selection activeCell="D46" sqref="D46"/>
    </sheetView>
  </sheetViews>
  <sheetFormatPr defaultRowHeight="14.25"/>
  <cols>
    <col min="1" max="1" width="13.625" customWidth="1"/>
    <col min="2" max="2" width="30" customWidth="1"/>
    <col min="3" max="3" width="55.625" customWidth="1"/>
    <col min="4" max="4" width="24" customWidth="1"/>
    <col min="5" max="5" width="41.625" customWidth="1"/>
    <col min="6" max="6" width="48.625" customWidth="1"/>
    <col min="7" max="7" width="16" customWidth="1"/>
    <col min="8" max="8" width="35.625" customWidth="1"/>
    <col min="9" max="9" width="12.875" customWidth="1"/>
    <col min="10" max="10" width="55.625" customWidth="1"/>
  </cols>
  <sheetData>
    <row r="1" spans="1:10" ht="20.25">
      <c r="A1" s="22" t="s">
        <v>67</v>
      </c>
      <c r="B1" s="22"/>
      <c r="C1" s="22"/>
      <c r="D1" s="22"/>
      <c r="E1" s="22"/>
      <c r="F1" s="22"/>
      <c r="G1" s="22"/>
      <c r="H1" s="22"/>
      <c r="I1" s="22"/>
      <c r="J1" s="22"/>
    </row>
    <row r="2" spans="1:10" ht="15" customHeight="1">
      <c r="A2" s="23" t="s">
        <v>820</v>
      </c>
      <c r="B2" s="23"/>
      <c r="C2" s="23"/>
      <c r="D2" s="23"/>
      <c r="E2" s="23"/>
      <c r="F2" s="23"/>
      <c r="G2" s="23"/>
      <c r="H2" s="23"/>
      <c r="I2" s="23"/>
      <c r="J2" s="23"/>
    </row>
    <row r="3" spans="1:10" ht="25.5">
      <c r="A3" s="9" t="s">
        <v>68</v>
      </c>
      <c r="B3" s="9" t="s">
        <v>69</v>
      </c>
      <c r="C3" s="9" t="s">
        <v>70</v>
      </c>
      <c r="D3" s="9" t="s">
        <v>71</v>
      </c>
      <c r="E3" s="9" t="s">
        <v>72</v>
      </c>
      <c r="F3" s="9" t="s">
        <v>73</v>
      </c>
      <c r="G3" s="9" t="s">
        <v>74</v>
      </c>
      <c r="H3" s="9" t="s">
        <v>75</v>
      </c>
      <c r="I3" s="9" t="s">
        <v>76</v>
      </c>
      <c r="J3" s="9" t="s">
        <v>77</v>
      </c>
    </row>
    <row r="4" spans="1:10" ht="25.5">
      <c r="A4" s="1" t="s">
        <v>59</v>
      </c>
      <c r="B4" s="1" t="s">
        <v>406</v>
      </c>
      <c r="C4" s="1" t="s">
        <v>407</v>
      </c>
      <c r="D4" s="1" t="s">
        <v>406</v>
      </c>
      <c r="E4" s="1" t="s">
        <v>408</v>
      </c>
      <c r="F4" s="1" t="s">
        <v>409</v>
      </c>
      <c r="G4" s="7" t="s">
        <v>780</v>
      </c>
      <c r="H4" s="1" t="s">
        <v>410</v>
      </c>
      <c r="I4" s="1">
        <v>4</v>
      </c>
      <c r="J4" s="1" t="s">
        <v>411</v>
      </c>
    </row>
    <row r="5" spans="1:10" ht="25.5">
      <c r="A5" s="1" t="s">
        <v>59</v>
      </c>
      <c r="B5" s="1" t="s">
        <v>412</v>
      </c>
      <c r="C5" s="1" t="s">
        <v>413</v>
      </c>
      <c r="D5" s="1" t="s">
        <v>412</v>
      </c>
      <c r="E5" s="1" t="s">
        <v>414</v>
      </c>
      <c r="F5" s="1" t="s">
        <v>409</v>
      </c>
      <c r="G5" s="7" t="s">
        <v>780</v>
      </c>
      <c r="H5" s="1" t="s">
        <v>410</v>
      </c>
      <c r="I5" s="1">
        <v>4</v>
      </c>
      <c r="J5" s="1" t="s">
        <v>415</v>
      </c>
    </row>
    <row r="6" spans="1:10">
      <c r="A6" s="1" t="s">
        <v>59</v>
      </c>
      <c r="B6" s="1" t="s">
        <v>412</v>
      </c>
      <c r="C6" s="1" t="s">
        <v>416</v>
      </c>
      <c r="D6" s="1" t="s">
        <v>412</v>
      </c>
      <c r="E6" s="1" t="s">
        <v>414</v>
      </c>
      <c r="F6" s="1" t="s">
        <v>409</v>
      </c>
      <c r="G6" s="7" t="s">
        <v>780</v>
      </c>
      <c r="H6" s="1" t="s">
        <v>410</v>
      </c>
      <c r="I6" s="1">
        <v>4</v>
      </c>
      <c r="J6" s="1" t="s">
        <v>417</v>
      </c>
    </row>
    <row r="7" spans="1:10">
      <c r="A7" s="1" t="s">
        <v>59</v>
      </c>
      <c r="B7" s="1" t="s">
        <v>412</v>
      </c>
      <c r="C7" s="1" t="s">
        <v>418</v>
      </c>
      <c r="D7" s="1" t="s">
        <v>412</v>
      </c>
      <c r="E7" s="1" t="s">
        <v>414</v>
      </c>
      <c r="F7" s="1" t="s">
        <v>409</v>
      </c>
      <c r="G7" s="7" t="s">
        <v>780</v>
      </c>
      <c r="H7" s="1" t="s">
        <v>410</v>
      </c>
      <c r="I7" s="1">
        <v>4</v>
      </c>
      <c r="J7" s="1" t="s">
        <v>419</v>
      </c>
    </row>
    <row r="8" spans="1:10" ht="25.5">
      <c r="A8" s="1" t="s">
        <v>59</v>
      </c>
      <c r="B8" s="1" t="s">
        <v>412</v>
      </c>
      <c r="C8" s="1" t="s">
        <v>420</v>
      </c>
      <c r="D8" s="1" t="s">
        <v>412</v>
      </c>
      <c r="E8" s="1" t="s">
        <v>414</v>
      </c>
      <c r="F8" s="1" t="s">
        <v>409</v>
      </c>
      <c r="G8" s="7" t="s">
        <v>780</v>
      </c>
      <c r="H8" s="1" t="s">
        <v>410</v>
      </c>
      <c r="I8" s="1">
        <v>4</v>
      </c>
      <c r="J8" s="1" t="s">
        <v>421</v>
      </c>
    </row>
    <row r="9" spans="1:10" ht="25.5">
      <c r="A9" s="1" t="s">
        <v>59</v>
      </c>
      <c r="B9" s="1" t="s">
        <v>412</v>
      </c>
      <c r="C9" s="1" t="s">
        <v>422</v>
      </c>
      <c r="D9" s="1" t="s">
        <v>412</v>
      </c>
      <c r="E9" s="1" t="s">
        <v>414</v>
      </c>
      <c r="F9" s="1" t="s">
        <v>409</v>
      </c>
      <c r="G9" s="7" t="s">
        <v>780</v>
      </c>
      <c r="H9" s="1" t="s">
        <v>410</v>
      </c>
      <c r="I9" s="1">
        <v>4</v>
      </c>
      <c r="J9" s="1" t="s">
        <v>423</v>
      </c>
    </row>
    <row r="10" spans="1:10" ht="25.5">
      <c r="A10" s="1" t="s">
        <v>59</v>
      </c>
      <c r="B10" s="1" t="s">
        <v>412</v>
      </c>
      <c r="C10" s="1" t="s">
        <v>424</v>
      </c>
      <c r="D10" s="1" t="s">
        <v>412</v>
      </c>
      <c r="E10" s="1" t="s">
        <v>414</v>
      </c>
      <c r="F10" s="1" t="s">
        <v>409</v>
      </c>
      <c r="G10" s="7" t="s">
        <v>780</v>
      </c>
      <c r="H10" s="1" t="s">
        <v>410</v>
      </c>
      <c r="I10" s="1">
        <v>4</v>
      </c>
      <c r="J10" s="1" t="s">
        <v>425</v>
      </c>
    </row>
    <row r="11" spans="1:10">
      <c r="A11" s="1" t="s">
        <v>59</v>
      </c>
      <c r="B11" s="1" t="s">
        <v>426</v>
      </c>
      <c r="C11" s="1" t="s">
        <v>427</v>
      </c>
      <c r="D11" s="1" t="s">
        <v>428</v>
      </c>
      <c r="E11" s="1" t="s">
        <v>429</v>
      </c>
      <c r="F11" s="1" t="s">
        <v>886</v>
      </c>
      <c r="G11" s="7" t="s">
        <v>781</v>
      </c>
      <c r="H11" s="1" t="s">
        <v>430</v>
      </c>
      <c r="I11" s="1">
        <v>5</v>
      </c>
      <c r="J11" s="1" t="s">
        <v>887</v>
      </c>
    </row>
    <row r="12" spans="1:10" ht="25.5">
      <c r="A12" s="1" t="s">
        <v>60</v>
      </c>
      <c r="B12" s="1" t="s">
        <v>406</v>
      </c>
      <c r="C12" s="1" t="s">
        <v>431</v>
      </c>
      <c r="D12" s="1" t="s">
        <v>406</v>
      </c>
      <c r="E12" s="1" t="s">
        <v>408</v>
      </c>
      <c r="F12" s="1" t="s">
        <v>409</v>
      </c>
      <c r="G12" s="7" t="s">
        <v>780</v>
      </c>
      <c r="H12" s="1" t="s">
        <v>410</v>
      </c>
      <c r="I12" s="1">
        <v>4</v>
      </c>
      <c r="J12" s="1" t="s">
        <v>432</v>
      </c>
    </row>
    <row r="13" spans="1:10" ht="25.5">
      <c r="A13" s="1" t="s">
        <v>60</v>
      </c>
      <c r="B13" s="1" t="s">
        <v>412</v>
      </c>
      <c r="C13" s="1" t="s">
        <v>433</v>
      </c>
      <c r="D13" s="1" t="s">
        <v>412</v>
      </c>
      <c r="E13" s="1" t="s">
        <v>414</v>
      </c>
      <c r="F13" s="1" t="s">
        <v>409</v>
      </c>
      <c r="G13" s="7" t="s">
        <v>780</v>
      </c>
      <c r="H13" s="1" t="s">
        <v>410</v>
      </c>
      <c r="I13" s="1">
        <v>4</v>
      </c>
      <c r="J13" s="1" t="s">
        <v>434</v>
      </c>
    </row>
    <row r="14" spans="1:10" ht="25.5">
      <c r="A14" s="1" t="s">
        <v>60</v>
      </c>
      <c r="B14" s="1" t="s">
        <v>412</v>
      </c>
      <c r="C14" s="1" t="s">
        <v>435</v>
      </c>
      <c r="D14" s="1" t="s">
        <v>412</v>
      </c>
      <c r="E14" s="1" t="s">
        <v>414</v>
      </c>
      <c r="F14" s="1" t="s">
        <v>409</v>
      </c>
      <c r="G14" s="7" t="s">
        <v>780</v>
      </c>
      <c r="H14" s="1" t="s">
        <v>410</v>
      </c>
      <c r="I14" s="1">
        <v>4</v>
      </c>
      <c r="J14" s="1" t="s">
        <v>436</v>
      </c>
    </row>
    <row r="15" spans="1:10" ht="25.5">
      <c r="A15" s="1" t="s">
        <v>60</v>
      </c>
      <c r="B15" s="1" t="s">
        <v>437</v>
      </c>
      <c r="C15" s="1" t="s">
        <v>438</v>
      </c>
      <c r="D15" s="1" t="s">
        <v>437</v>
      </c>
      <c r="E15" s="1" t="s">
        <v>439</v>
      </c>
      <c r="F15" s="1" t="s">
        <v>409</v>
      </c>
      <c r="G15" s="7" t="s">
        <v>780</v>
      </c>
      <c r="H15" s="1" t="s">
        <v>410</v>
      </c>
      <c r="I15" s="1">
        <v>4</v>
      </c>
      <c r="J15" s="1" t="s">
        <v>440</v>
      </c>
    </row>
    <row r="16" spans="1:10" ht="25.5">
      <c r="A16" s="1" t="s">
        <v>60</v>
      </c>
      <c r="B16" s="1" t="s">
        <v>412</v>
      </c>
      <c r="C16" s="1" t="s">
        <v>441</v>
      </c>
      <c r="D16" s="1" t="s">
        <v>412</v>
      </c>
      <c r="E16" s="1" t="s">
        <v>414</v>
      </c>
      <c r="F16" s="1" t="s">
        <v>409</v>
      </c>
      <c r="G16" s="7" t="s">
        <v>780</v>
      </c>
      <c r="H16" s="1" t="s">
        <v>410</v>
      </c>
      <c r="I16" s="1">
        <v>4</v>
      </c>
      <c r="J16" s="1" t="s">
        <v>442</v>
      </c>
    </row>
    <row r="17" spans="1:10" ht="25.5">
      <c r="A17" s="1" t="s">
        <v>60</v>
      </c>
      <c r="B17" s="1" t="s">
        <v>412</v>
      </c>
      <c r="C17" s="1" t="s">
        <v>443</v>
      </c>
      <c r="D17" s="1" t="s">
        <v>412</v>
      </c>
      <c r="E17" s="1" t="s">
        <v>414</v>
      </c>
      <c r="F17" s="1" t="s">
        <v>409</v>
      </c>
      <c r="G17" s="7" t="s">
        <v>780</v>
      </c>
      <c r="H17" s="1" t="s">
        <v>410</v>
      </c>
      <c r="I17" s="1">
        <v>4</v>
      </c>
      <c r="J17" s="1" t="s">
        <v>444</v>
      </c>
    </row>
    <row r="18" spans="1:10" ht="25.5">
      <c r="A18" s="1" t="s">
        <v>60</v>
      </c>
      <c r="B18" s="1" t="s">
        <v>412</v>
      </c>
      <c r="C18" s="1" t="s">
        <v>445</v>
      </c>
      <c r="D18" s="1" t="s">
        <v>412</v>
      </c>
      <c r="E18" s="1" t="s">
        <v>414</v>
      </c>
      <c r="F18" s="1" t="s">
        <v>409</v>
      </c>
      <c r="G18" s="7" t="s">
        <v>780</v>
      </c>
      <c r="H18" s="1" t="s">
        <v>410</v>
      </c>
      <c r="I18" s="1">
        <v>4</v>
      </c>
      <c r="J18" s="1" t="s">
        <v>446</v>
      </c>
    </row>
    <row r="19" spans="1:10">
      <c r="A19" s="1" t="s">
        <v>60</v>
      </c>
      <c r="B19" s="1" t="s">
        <v>426</v>
      </c>
      <c r="C19" s="1" t="s">
        <v>447</v>
      </c>
      <c r="D19" s="1" t="s">
        <v>428</v>
      </c>
      <c r="E19" s="1" t="s">
        <v>429</v>
      </c>
      <c r="F19" s="1" t="s">
        <v>886</v>
      </c>
      <c r="G19" s="7" t="s">
        <v>781</v>
      </c>
      <c r="H19" s="1" t="s">
        <v>430</v>
      </c>
      <c r="I19" s="1">
        <v>5</v>
      </c>
      <c r="J19" s="1" t="s">
        <v>888</v>
      </c>
    </row>
    <row r="20" spans="1:10">
      <c r="A20" s="1" t="s">
        <v>60</v>
      </c>
      <c r="B20" s="1" t="s">
        <v>426</v>
      </c>
      <c r="C20" s="1" t="s">
        <v>448</v>
      </c>
      <c r="D20" s="1" t="s">
        <v>428</v>
      </c>
      <c r="E20" s="1" t="s">
        <v>429</v>
      </c>
      <c r="F20" s="1" t="s">
        <v>886</v>
      </c>
      <c r="G20" s="7" t="s">
        <v>781</v>
      </c>
      <c r="H20" s="1" t="s">
        <v>430</v>
      </c>
      <c r="I20" s="1">
        <v>5</v>
      </c>
      <c r="J20" s="1" t="s">
        <v>889</v>
      </c>
    </row>
    <row r="21" spans="1:10" ht="25.5">
      <c r="A21" s="1" t="s">
        <v>61</v>
      </c>
      <c r="B21" s="1" t="s">
        <v>406</v>
      </c>
      <c r="C21" s="1" t="s">
        <v>449</v>
      </c>
      <c r="D21" s="1" t="s">
        <v>406</v>
      </c>
      <c r="E21" s="1" t="s">
        <v>408</v>
      </c>
      <c r="F21" s="1" t="s">
        <v>409</v>
      </c>
      <c r="G21" s="7" t="s">
        <v>780</v>
      </c>
      <c r="H21" s="1" t="s">
        <v>410</v>
      </c>
      <c r="I21" s="1">
        <v>4</v>
      </c>
      <c r="J21" s="1" t="s">
        <v>450</v>
      </c>
    </row>
    <row r="22" spans="1:10" ht="25.5">
      <c r="A22" s="1" t="s">
        <v>61</v>
      </c>
      <c r="B22" s="1" t="s">
        <v>412</v>
      </c>
      <c r="C22" s="1" t="s">
        <v>451</v>
      </c>
      <c r="D22" s="1" t="s">
        <v>412</v>
      </c>
      <c r="E22" s="1" t="s">
        <v>414</v>
      </c>
      <c r="F22" s="1" t="s">
        <v>409</v>
      </c>
      <c r="G22" s="7" t="s">
        <v>780</v>
      </c>
      <c r="H22" s="1" t="s">
        <v>410</v>
      </c>
      <c r="I22" s="1">
        <v>4</v>
      </c>
      <c r="J22" s="1" t="s">
        <v>782</v>
      </c>
    </row>
    <row r="23" spans="1:10" ht="25.5">
      <c r="A23" s="1" t="s">
        <v>61</v>
      </c>
      <c r="B23" s="1" t="s">
        <v>452</v>
      </c>
      <c r="C23" s="1" t="s">
        <v>453</v>
      </c>
      <c r="D23" s="1" t="s">
        <v>452</v>
      </c>
      <c r="E23" s="1" t="s">
        <v>454</v>
      </c>
      <c r="F23" s="1" t="s">
        <v>409</v>
      </c>
      <c r="G23" s="7" t="s">
        <v>780</v>
      </c>
      <c r="H23" s="1" t="s">
        <v>455</v>
      </c>
      <c r="I23" s="1">
        <v>5</v>
      </c>
      <c r="J23" s="1" t="s">
        <v>785</v>
      </c>
    </row>
    <row r="24" spans="1:10" ht="25.5">
      <c r="A24" s="1" t="s">
        <v>62</v>
      </c>
      <c r="B24" s="1" t="s">
        <v>406</v>
      </c>
      <c r="C24" s="1" t="s">
        <v>456</v>
      </c>
      <c r="D24" s="1" t="s">
        <v>406</v>
      </c>
      <c r="E24" s="1" t="s">
        <v>408</v>
      </c>
      <c r="F24" s="1" t="s">
        <v>409</v>
      </c>
      <c r="G24" s="7" t="s">
        <v>780</v>
      </c>
      <c r="H24" s="1" t="s">
        <v>410</v>
      </c>
      <c r="I24" s="1">
        <v>4</v>
      </c>
      <c r="J24" s="1" t="s">
        <v>783</v>
      </c>
    </row>
    <row r="25" spans="1:10" ht="25.5">
      <c r="A25" s="1" t="s">
        <v>62</v>
      </c>
      <c r="B25" s="1" t="s">
        <v>452</v>
      </c>
      <c r="C25" s="1" t="s">
        <v>457</v>
      </c>
      <c r="D25" s="1" t="s">
        <v>452</v>
      </c>
      <c r="E25" s="1" t="s">
        <v>454</v>
      </c>
      <c r="F25" s="1" t="s">
        <v>409</v>
      </c>
      <c r="G25" s="7" t="s">
        <v>780</v>
      </c>
      <c r="H25" s="1" t="s">
        <v>410</v>
      </c>
      <c r="I25" s="1">
        <v>5</v>
      </c>
      <c r="J25" s="1" t="s">
        <v>458</v>
      </c>
    </row>
    <row r="26" spans="1:10" ht="25.5">
      <c r="A26" s="1" t="s">
        <v>62</v>
      </c>
      <c r="B26" s="1" t="s">
        <v>459</v>
      </c>
      <c r="C26" s="1" t="s">
        <v>460</v>
      </c>
      <c r="D26" s="1" t="s">
        <v>459</v>
      </c>
      <c r="E26" s="1" t="s">
        <v>461</v>
      </c>
      <c r="F26" s="1" t="s">
        <v>409</v>
      </c>
      <c r="G26" s="7" t="s">
        <v>780</v>
      </c>
      <c r="H26" s="1" t="s">
        <v>410</v>
      </c>
      <c r="I26" s="1">
        <v>4</v>
      </c>
      <c r="J26" s="1" t="s">
        <v>462</v>
      </c>
    </row>
    <row r="27" spans="1:10" ht="25.5">
      <c r="A27" s="1" t="s">
        <v>63</v>
      </c>
      <c r="B27" s="1" t="s">
        <v>406</v>
      </c>
      <c r="C27" s="1" t="s">
        <v>463</v>
      </c>
      <c r="D27" s="1" t="s">
        <v>406</v>
      </c>
      <c r="E27" s="1" t="s">
        <v>408</v>
      </c>
      <c r="F27" s="1" t="s">
        <v>409</v>
      </c>
      <c r="G27" s="7" t="s">
        <v>780</v>
      </c>
      <c r="H27" s="1" t="s">
        <v>410</v>
      </c>
      <c r="I27" s="1">
        <v>4</v>
      </c>
      <c r="J27" s="1" t="s">
        <v>464</v>
      </c>
    </row>
    <row r="28" spans="1:10" ht="25.5">
      <c r="A28" s="1" t="s">
        <v>63</v>
      </c>
      <c r="B28" s="1" t="s">
        <v>459</v>
      </c>
      <c r="C28" s="1" t="s">
        <v>465</v>
      </c>
      <c r="D28" s="1" t="s">
        <v>459</v>
      </c>
      <c r="E28" s="1" t="s">
        <v>461</v>
      </c>
      <c r="F28" s="1" t="s">
        <v>409</v>
      </c>
      <c r="G28" s="7" t="s">
        <v>780</v>
      </c>
      <c r="H28" s="1" t="s">
        <v>410</v>
      </c>
      <c r="I28" s="1">
        <v>4</v>
      </c>
      <c r="J28" s="1" t="s">
        <v>466</v>
      </c>
    </row>
    <row r="29" spans="1:10">
      <c r="A29" s="1" t="s">
        <v>63</v>
      </c>
      <c r="B29" s="1" t="s">
        <v>426</v>
      </c>
      <c r="C29" s="1" t="s">
        <v>467</v>
      </c>
      <c r="D29" s="1" t="s">
        <v>428</v>
      </c>
      <c r="E29" s="1" t="s">
        <v>429</v>
      </c>
      <c r="F29" s="1" t="s">
        <v>886</v>
      </c>
      <c r="G29" s="7" t="s">
        <v>781</v>
      </c>
      <c r="H29" s="1" t="s">
        <v>430</v>
      </c>
      <c r="I29" s="1">
        <v>5</v>
      </c>
      <c r="J29" s="1" t="s">
        <v>890</v>
      </c>
    </row>
    <row r="30" spans="1:10">
      <c r="A30" s="1" t="s">
        <v>63</v>
      </c>
      <c r="B30" s="1" t="s">
        <v>426</v>
      </c>
      <c r="C30" s="1" t="s">
        <v>468</v>
      </c>
      <c r="D30" s="1" t="s">
        <v>428</v>
      </c>
      <c r="E30" s="1" t="s">
        <v>429</v>
      </c>
      <c r="F30" s="1" t="s">
        <v>886</v>
      </c>
      <c r="G30" s="7" t="s">
        <v>781</v>
      </c>
      <c r="H30" s="1" t="s">
        <v>430</v>
      </c>
      <c r="I30" s="1">
        <v>5</v>
      </c>
      <c r="J30" s="1" t="s">
        <v>891</v>
      </c>
    </row>
    <row r="31" spans="1:10" ht="25.5">
      <c r="A31" s="1" t="s">
        <v>64</v>
      </c>
      <c r="B31" s="1" t="s">
        <v>406</v>
      </c>
      <c r="C31" s="1" t="s">
        <v>469</v>
      </c>
      <c r="D31" s="1" t="s">
        <v>406</v>
      </c>
      <c r="E31" s="1" t="s">
        <v>408</v>
      </c>
      <c r="F31" s="1" t="s">
        <v>409</v>
      </c>
      <c r="G31" s="7" t="s">
        <v>780</v>
      </c>
      <c r="H31" s="1" t="s">
        <v>455</v>
      </c>
      <c r="I31" s="1">
        <v>5</v>
      </c>
      <c r="J31" s="1" t="s">
        <v>470</v>
      </c>
    </row>
    <row r="32" spans="1:10" ht="25.5">
      <c r="A32" s="1" t="s">
        <v>64</v>
      </c>
      <c r="B32" s="1" t="s">
        <v>452</v>
      </c>
      <c r="C32" s="1" t="s">
        <v>471</v>
      </c>
      <c r="D32" s="1" t="s">
        <v>452</v>
      </c>
      <c r="E32" s="1" t="s">
        <v>454</v>
      </c>
      <c r="F32" s="1" t="s">
        <v>409</v>
      </c>
      <c r="G32" s="7" t="s">
        <v>780</v>
      </c>
      <c r="H32" s="1" t="s">
        <v>455</v>
      </c>
      <c r="I32" s="1">
        <v>5</v>
      </c>
      <c r="J32" s="1" t="s">
        <v>786</v>
      </c>
    </row>
    <row r="33" spans="1:10" ht="25.5">
      <c r="A33" s="1" t="s">
        <v>65</v>
      </c>
      <c r="B33" s="1" t="s">
        <v>406</v>
      </c>
      <c r="C33" s="1" t="s">
        <v>472</v>
      </c>
      <c r="D33" s="1" t="s">
        <v>406</v>
      </c>
      <c r="E33" s="1" t="s">
        <v>408</v>
      </c>
      <c r="F33" s="1" t="s">
        <v>409</v>
      </c>
      <c r="G33" s="7" t="s">
        <v>780</v>
      </c>
      <c r="H33" s="1" t="s">
        <v>410</v>
      </c>
      <c r="I33" s="1">
        <v>4</v>
      </c>
      <c r="J33" s="1" t="s">
        <v>473</v>
      </c>
    </row>
    <row r="34" spans="1:10" ht="25.5">
      <c r="A34" s="1" t="s">
        <v>65</v>
      </c>
      <c r="B34" s="1" t="s">
        <v>452</v>
      </c>
      <c r="C34" s="1" t="s">
        <v>474</v>
      </c>
      <c r="D34" s="1" t="s">
        <v>452</v>
      </c>
      <c r="E34" s="1" t="s">
        <v>454</v>
      </c>
      <c r="F34" s="1" t="s">
        <v>409</v>
      </c>
      <c r="G34" s="7" t="s">
        <v>780</v>
      </c>
      <c r="H34" s="1" t="s">
        <v>410</v>
      </c>
      <c r="I34" s="1">
        <v>5</v>
      </c>
      <c r="J34" s="1" t="s">
        <v>475</v>
      </c>
    </row>
    <row r="35" spans="1:10" ht="25.5">
      <c r="A35" s="1" t="s">
        <v>65</v>
      </c>
      <c r="B35" s="1" t="s">
        <v>476</v>
      </c>
      <c r="C35" s="1" t="s">
        <v>477</v>
      </c>
      <c r="D35" s="1" t="s">
        <v>476</v>
      </c>
      <c r="E35" s="1" t="s">
        <v>478</v>
      </c>
      <c r="F35" s="1" t="s">
        <v>409</v>
      </c>
      <c r="G35" s="7" t="s">
        <v>780</v>
      </c>
      <c r="H35" s="1" t="s">
        <v>410</v>
      </c>
      <c r="I35" s="1">
        <v>4</v>
      </c>
      <c r="J35" s="1" t="s">
        <v>479</v>
      </c>
    </row>
    <row r="36" spans="1:10" ht="25.5">
      <c r="A36" s="1" t="s">
        <v>65</v>
      </c>
      <c r="B36" s="1" t="s">
        <v>476</v>
      </c>
      <c r="C36" s="1" t="s">
        <v>480</v>
      </c>
      <c r="D36" s="1" t="s">
        <v>476</v>
      </c>
      <c r="E36" s="1" t="s">
        <v>478</v>
      </c>
      <c r="F36" s="1" t="s">
        <v>409</v>
      </c>
      <c r="G36" s="7" t="s">
        <v>780</v>
      </c>
      <c r="H36" s="1" t="s">
        <v>410</v>
      </c>
      <c r="I36" s="1">
        <v>4</v>
      </c>
      <c r="J36" s="1" t="s">
        <v>481</v>
      </c>
    </row>
    <row r="37" spans="1:10" ht="25.5">
      <c r="A37" s="1" t="s">
        <v>65</v>
      </c>
      <c r="B37" s="1" t="s">
        <v>412</v>
      </c>
      <c r="C37" s="1" t="s">
        <v>482</v>
      </c>
      <c r="D37" s="1" t="s">
        <v>412</v>
      </c>
      <c r="E37" s="1" t="s">
        <v>414</v>
      </c>
      <c r="F37" s="1" t="s">
        <v>409</v>
      </c>
      <c r="G37" s="7" t="s">
        <v>780</v>
      </c>
      <c r="H37" s="1" t="s">
        <v>410</v>
      </c>
      <c r="I37" s="1">
        <v>4</v>
      </c>
      <c r="J37" s="1" t="s">
        <v>483</v>
      </c>
    </row>
    <row r="38" spans="1:10" ht="25.5">
      <c r="A38" s="1" t="s">
        <v>66</v>
      </c>
      <c r="B38" s="1" t="s">
        <v>406</v>
      </c>
      <c r="C38" s="1" t="s">
        <v>484</v>
      </c>
      <c r="D38" s="1" t="s">
        <v>406</v>
      </c>
      <c r="E38" s="1" t="s">
        <v>408</v>
      </c>
      <c r="F38" s="1" t="s">
        <v>409</v>
      </c>
      <c r="G38" s="7" t="s">
        <v>780</v>
      </c>
      <c r="H38" s="1" t="s">
        <v>410</v>
      </c>
      <c r="I38" s="1">
        <v>4</v>
      </c>
      <c r="J38" s="1" t="s">
        <v>784</v>
      </c>
    </row>
    <row r="39" spans="1:10" ht="25.5">
      <c r="A39" s="1" t="s">
        <v>66</v>
      </c>
      <c r="B39" s="1" t="s">
        <v>452</v>
      </c>
      <c r="C39" s="1" t="s">
        <v>485</v>
      </c>
      <c r="D39" s="1" t="s">
        <v>452</v>
      </c>
      <c r="E39" s="1" t="s">
        <v>454</v>
      </c>
      <c r="F39" s="1" t="s">
        <v>409</v>
      </c>
      <c r="G39" s="7" t="s">
        <v>780</v>
      </c>
      <c r="H39" s="1" t="s">
        <v>410</v>
      </c>
      <c r="I39" s="1">
        <v>5</v>
      </c>
      <c r="J39" s="1" t="s">
        <v>486</v>
      </c>
    </row>
    <row r="40" spans="1:10" ht="25.5">
      <c r="A40" s="1" t="s">
        <v>66</v>
      </c>
      <c r="B40" s="1" t="s">
        <v>487</v>
      </c>
      <c r="C40" s="1" t="s">
        <v>488</v>
      </c>
      <c r="D40" s="1" t="s">
        <v>487</v>
      </c>
      <c r="E40" s="1" t="s">
        <v>489</v>
      </c>
      <c r="F40" s="1" t="s">
        <v>409</v>
      </c>
      <c r="G40" s="7" t="s">
        <v>780</v>
      </c>
      <c r="H40" s="1" t="s">
        <v>410</v>
      </c>
      <c r="I40" s="1">
        <v>4</v>
      </c>
      <c r="J40" s="1" t="s">
        <v>490</v>
      </c>
    </row>
    <row r="41" spans="1:10" ht="25.5">
      <c r="A41" s="1" t="s">
        <v>66</v>
      </c>
      <c r="B41" s="1" t="s">
        <v>491</v>
      </c>
      <c r="C41" s="1" t="s">
        <v>492</v>
      </c>
      <c r="D41" s="1" t="s">
        <v>491</v>
      </c>
      <c r="E41" s="1" t="s">
        <v>493</v>
      </c>
      <c r="F41" s="1" t="s">
        <v>409</v>
      </c>
      <c r="G41" s="7" t="s">
        <v>780</v>
      </c>
      <c r="H41" s="1" t="s">
        <v>410</v>
      </c>
      <c r="I41" s="1">
        <v>4</v>
      </c>
      <c r="J41" s="1" t="s">
        <v>494</v>
      </c>
    </row>
    <row r="42" spans="1:10" ht="25.5">
      <c r="A42" s="1" t="s">
        <v>66</v>
      </c>
      <c r="B42" s="1" t="s">
        <v>476</v>
      </c>
      <c r="C42" s="1" t="s">
        <v>495</v>
      </c>
      <c r="D42" s="1" t="s">
        <v>476</v>
      </c>
      <c r="E42" s="1" t="s">
        <v>478</v>
      </c>
      <c r="F42" s="1" t="s">
        <v>409</v>
      </c>
      <c r="G42" s="7" t="s">
        <v>780</v>
      </c>
      <c r="H42" s="1" t="s">
        <v>410</v>
      </c>
      <c r="I42" s="1">
        <v>4</v>
      </c>
      <c r="J42" s="1" t="s">
        <v>496</v>
      </c>
    </row>
    <row r="43" spans="1:10" ht="25.5">
      <c r="A43" s="1" t="s">
        <v>66</v>
      </c>
      <c r="B43" s="1" t="s">
        <v>412</v>
      </c>
      <c r="C43" s="1" t="s">
        <v>497</v>
      </c>
      <c r="D43" s="1" t="s">
        <v>412</v>
      </c>
      <c r="E43" s="1" t="s">
        <v>414</v>
      </c>
      <c r="F43" s="1" t="s">
        <v>409</v>
      </c>
      <c r="G43" s="7" t="s">
        <v>780</v>
      </c>
      <c r="H43" s="1" t="s">
        <v>410</v>
      </c>
      <c r="I43" s="1">
        <v>4</v>
      </c>
      <c r="J43" s="1" t="s">
        <v>498</v>
      </c>
    </row>
  </sheetData>
  <mergeCells count="2">
    <mergeCell ref="A1:J1"/>
    <mergeCell ref="A2:J2"/>
  </mergeCells>
  <dataValidations count="2">
    <dataValidation type="list" sqref="D4:D43" xr:uid="{00000000-0002-0000-0200-000000000000}">
      <formula1>"Главная страница,Лендинг товара,Тарифы,Функции,Каталог/карточка,Регистрация,Личный кабинет,Оплата,Поддержка,FAQ,Документация,Блог/медиа,Отзывы/кейсы,Правовые документы"</formula1>
    </dataValidation>
    <dataValidation type="list" sqref="I4:I43" xr:uid="{00000000-0002-0000-0200-000001000000}">
      <formula1>"1,2,3,4,5"</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56"/>
  <sheetViews>
    <sheetView topLeftCell="G136" workbookViewId="0">
      <selection activeCell="G173" sqref="G173"/>
    </sheetView>
  </sheetViews>
  <sheetFormatPr defaultRowHeight="14.25"/>
  <cols>
    <col min="1" max="1" width="10.375" customWidth="1"/>
    <col min="2" max="2" width="28" customWidth="1"/>
    <col min="3" max="3" width="32.625" customWidth="1"/>
    <col min="4" max="4" width="30" customWidth="1"/>
    <col min="5" max="5" width="54.625" customWidth="1"/>
    <col min="6" max="6" width="55.625" customWidth="1"/>
    <col min="7" max="7" width="42" customWidth="1"/>
    <col min="8" max="8" width="13" customWidth="1"/>
    <col min="9" max="9" width="20.625" customWidth="1"/>
    <col min="10" max="10" width="15.625" customWidth="1"/>
    <col min="11" max="11" width="25.625" customWidth="1"/>
    <col min="12" max="12" width="16.625" customWidth="1"/>
    <col min="13" max="13" width="20" customWidth="1"/>
    <col min="14" max="14" width="36" customWidth="1"/>
  </cols>
  <sheetData>
    <row r="1" spans="1:14" ht="20.25">
      <c r="A1" s="22" t="s">
        <v>78</v>
      </c>
      <c r="B1" s="22"/>
      <c r="C1" s="22"/>
      <c r="D1" s="22"/>
      <c r="E1" s="22"/>
      <c r="F1" s="22"/>
      <c r="G1" s="22"/>
      <c r="H1" s="22"/>
      <c r="I1" s="22"/>
      <c r="J1" s="22"/>
      <c r="K1" s="22"/>
      <c r="L1" s="22"/>
      <c r="M1" s="22"/>
      <c r="N1" s="22"/>
    </row>
    <row r="2" spans="1:14" ht="15" customHeight="1">
      <c r="A2" s="23" t="s">
        <v>821</v>
      </c>
      <c r="B2" s="23"/>
      <c r="C2" s="23"/>
      <c r="D2" s="23"/>
      <c r="E2" s="23"/>
      <c r="F2" s="23"/>
      <c r="G2" s="23"/>
      <c r="H2" s="23"/>
      <c r="I2" s="23"/>
      <c r="J2" s="23"/>
      <c r="K2" s="23"/>
      <c r="L2" s="23"/>
      <c r="M2" s="23"/>
      <c r="N2" s="23"/>
    </row>
    <row r="3" spans="1:14" ht="25.5">
      <c r="A3" s="9" t="s">
        <v>68</v>
      </c>
      <c r="B3" s="9" t="s">
        <v>79</v>
      </c>
      <c r="C3" s="9" t="s">
        <v>80</v>
      </c>
      <c r="D3" s="9" t="s">
        <v>81</v>
      </c>
      <c r="E3" s="9" t="s">
        <v>82</v>
      </c>
      <c r="F3" s="9" t="s">
        <v>83</v>
      </c>
      <c r="G3" s="9" t="s">
        <v>84</v>
      </c>
      <c r="H3" s="9" t="s">
        <v>85</v>
      </c>
      <c r="I3" s="9" t="s">
        <v>86</v>
      </c>
      <c r="J3" s="9" t="s">
        <v>87</v>
      </c>
      <c r="K3" s="9" t="s">
        <v>88</v>
      </c>
      <c r="L3" s="9" t="s">
        <v>89</v>
      </c>
      <c r="M3" s="9" t="s">
        <v>90</v>
      </c>
      <c r="N3" s="9" t="s">
        <v>91</v>
      </c>
    </row>
    <row r="4" spans="1:14" ht="25.5">
      <c r="A4" s="1" t="s">
        <v>59</v>
      </c>
      <c r="B4" s="1" t="s">
        <v>356</v>
      </c>
      <c r="C4" s="1" t="s">
        <v>407</v>
      </c>
      <c r="D4" s="1" t="s">
        <v>151</v>
      </c>
      <c r="E4" s="1" t="s">
        <v>499</v>
      </c>
      <c r="F4" s="1" t="s">
        <v>500</v>
      </c>
      <c r="G4" s="1" t="s">
        <v>501</v>
      </c>
      <c r="H4" s="1">
        <v>1</v>
      </c>
      <c r="I4" s="1">
        <v>3</v>
      </c>
      <c r="J4" s="1">
        <v>3</v>
      </c>
      <c r="K4" s="1">
        <v>5</v>
      </c>
      <c r="L4" s="1">
        <f t="shared" ref="L4:L67" si="0">IF(OR(H4="",I4="",J4="",K4=""),"",ROUND(H4*((I4+J4)/6)*K4,2))</f>
        <v>5</v>
      </c>
      <c r="M4" s="1" t="str">
        <f t="shared" ref="M4:M67" si="1">IF(L4="","",IF(AND(L4&gt;=3.5,H4=1),"Сильный признак",IF(AND(L4&gt;=2,H4=1),"Рабочий признак",IF(H4=1,"Слабый признак","Отсутствует"))))</f>
        <v>Сильный признак</v>
      </c>
      <c r="N4" s="1" t="s">
        <v>945</v>
      </c>
    </row>
    <row r="5" spans="1:14" ht="25.5">
      <c r="A5" s="1" t="s">
        <v>59</v>
      </c>
      <c r="B5" s="1" t="s">
        <v>356</v>
      </c>
      <c r="C5" s="1" t="s">
        <v>407</v>
      </c>
      <c r="D5" s="1" t="s">
        <v>158</v>
      </c>
      <c r="E5" s="1" t="s">
        <v>502</v>
      </c>
      <c r="F5" s="1" t="s">
        <v>503</v>
      </c>
      <c r="G5" s="1" t="s">
        <v>504</v>
      </c>
      <c r="H5" s="1">
        <v>1</v>
      </c>
      <c r="I5" s="1">
        <v>3</v>
      </c>
      <c r="J5" s="1">
        <v>3</v>
      </c>
      <c r="K5" s="1">
        <v>4</v>
      </c>
      <c r="L5" s="1">
        <f t="shared" si="0"/>
        <v>4</v>
      </c>
      <c r="M5" s="1" t="str">
        <f t="shared" si="1"/>
        <v>Сильный признак</v>
      </c>
      <c r="N5" s="1" t="s">
        <v>945</v>
      </c>
    </row>
    <row r="6" spans="1:14" ht="25.5">
      <c r="A6" s="1" t="s">
        <v>59</v>
      </c>
      <c r="B6" s="1" t="s">
        <v>356</v>
      </c>
      <c r="C6" s="1" t="s">
        <v>407</v>
      </c>
      <c r="D6" s="1" t="s">
        <v>158</v>
      </c>
      <c r="E6" s="1" t="s">
        <v>505</v>
      </c>
      <c r="F6" s="1" t="s">
        <v>506</v>
      </c>
      <c r="G6" s="1" t="s">
        <v>507</v>
      </c>
      <c r="H6" s="1">
        <v>1</v>
      </c>
      <c r="I6" s="1">
        <v>3</v>
      </c>
      <c r="J6" s="1">
        <v>2</v>
      </c>
      <c r="K6" s="1">
        <v>5</v>
      </c>
      <c r="L6" s="1">
        <f t="shared" si="0"/>
        <v>4.17</v>
      </c>
      <c r="M6" s="1" t="str">
        <f t="shared" si="1"/>
        <v>Сильный признак</v>
      </c>
      <c r="N6" s="1" t="s">
        <v>945</v>
      </c>
    </row>
    <row r="7" spans="1:14" ht="25.5">
      <c r="A7" s="1" t="s">
        <v>59</v>
      </c>
      <c r="B7" s="1" t="s">
        <v>356</v>
      </c>
      <c r="C7" s="1" t="s">
        <v>407</v>
      </c>
      <c r="D7" s="1" t="s">
        <v>162</v>
      </c>
      <c r="E7" s="1" t="s">
        <v>508</v>
      </c>
      <c r="F7" s="1" t="s">
        <v>509</v>
      </c>
      <c r="G7" s="1" t="s">
        <v>507</v>
      </c>
      <c r="H7" s="1">
        <v>1</v>
      </c>
      <c r="I7" s="1">
        <v>3</v>
      </c>
      <c r="J7" s="1">
        <v>2</v>
      </c>
      <c r="K7" s="1">
        <v>5</v>
      </c>
      <c r="L7" s="1">
        <f t="shared" si="0"/>
        <v>4.17</v>
      </c>
      <c r="M7" s="1" t="str">
        <f t="shared" si="1"/>
        <v>Сильный признак</v>
      </c>
      <c r="N7" s="1" t="s">
        <v>945</v>
      </c>
    </row>
    <row r="8" spans="1:14" ht="25.5">
      <c r="A8" s="1" t="s">
        <v>59</v>
      </c>
      <c r="B8" s="1" t="s">
        <v>356</v>
      </c>
      <c r="C8" s="1" t="s">
        <v>407</v>
      </c>
      <c r="D8" s="1" t="s">
        <v>162</v>
      </c>
      <c r="E8" s="1" t="s">
        <v>510</v>
      </c>
      <c r="F8" s="1" t="s">
        <v>511</v>
      </c>
      <c r="G8" s="1" t="s">
        <v>507</v>
      </c>
      <c r="H8" s="1">
        <v>1</v>
      </c>
      <c r="I8" s="1">
        <v>2</v>
      </c>
      <c r="J8" s="1">
        <v>2</v>
      </c>
      <c r="K8" s="1">
        <v>4</v>
      </c>
      <c r="L8" s="1">
        <f t="shared" si="0"/>
        <v>2.67</v>
      </c>
      <c r="M8" s="1" t="str">
        <f t="shared" si="1"/>
        <v>Рабочий признак</v>
      </c>
      <c r="N8" s="1" t="s">
        <v>945</v>
      </c>
    </row>
    <row r="9" spans="1:14" ht="25.5">
      <c r="A9" s="1" t="s">
        <v>59</v>
      </c>
      <c r="B9" s="1" t="s">
        <v>356</v>
      </c>
      <c r="C9" s="1" t="s">
        <v>407</v>
      </c>
      <c r="D9" s="1" t="s">
        <v>171</v>
      </c>
      <c r="E9" s="1" t="s">
        <v>512</v>
      </c>
      <c r="F9" s="1" t="s">
        <v>513</v>
      </c>
      <c r="G9" s="1" t="s">
        <v>507</v>
      </c>
      <c r="H9" s="1">
        <v>1</v>
      </c>
      <c r="I9" s="1">
        <v>2</v>
      </c>
      <c r="J9" s="1">
        <v>2</v>
      </c>
      <c r="K9" s="1">
        <v>4</v>
      </c>
      <c r="L9" s="1">
        <f t="shared" si="0"/>
        <v>2.67</v>
      </c>
      <c r="M9" s="1" t="str">
        <f t="shared" si="1"/>
        <v>Рабочий признак</v>
      </c>
      <c r="N9" s="1" t="s">
        <v>945</v>
      </c>
    </row>
    <row r="10" spans="1:14" ht="25.5">
      <c r="A10" s="1" t="s">
        <v>59</v>
      </c>
      <c r="B10" s="1" t="s">
        <v>356</v>
      </c>
      <c r="C10" s="1" t="s">
        <v>407</v>
      </c>
      <c r="D10" s="1" t="s">
        <v>171</v>
      </c>
      <c r="E10" s="1" t="s">
        <v>514</v>
      </c>
      <c r="F10" s="1" t="s">
        <v>515</v>
      </c>
      <c r="G10" s="1" t="s">
        <v>507</v>
      </c>
      <c r="H10" s="1">
        <v>1</v>
      </c>
      <c r="I10" s="1">
        <v>2</v>
      </c>
      <c r="J10" s="1">
        <v>2</v>
      </c>
      <c r="K10" s="1">
        <v>3</v>
      </c>
      <c r="L10" s="1">
        <f t="shared" si="0"/>
        <v>2</v>
      </c>
      <c r="M10" s="1" t="str">
        <f t="shared" si="1"/>
        <v>Рабочий признак</v>
      </c>
      <c r="N10" s="1" t="s">
        <v>945</v>
      </c>
    </row>
    <row r="11" spans="1:14" ht="25.5">
      <c r="A11" s="1" t="s">
        <v>59</v>
      </c>
      <c r="B11" s="1" t="s">
        <v>356</v>
      </c>
      <c r="C11" s="1" t="s">
        <v>407</v>
      </c>
      <c r="D11" s="1" t="s">
        <v>162</v>
      </c>
      <c r="E11" s="1" t="s">
        <v>516</v>
      </c>
      <c r="F11" s="1" t="s">
        <v>517</v>
      </c>
      <c r="G11" s="1" t="s">
        <v>507</v>
      </c>
      <c r="H11" s="1">
        <v>1</v>
      </c>
      <c r="I11" s="1">
        <v>3</v>
      </c>
      <c r="J11" s="1">
        <v>2</v>
      </c>
      <c r="K11" s="1">
        <v>5</v>
      </c>
      <c r="L11" s="1">
        <f t="shared" si="0"/>
        <v>4.17</v>
      </c>
      <c r="M11" s="1" t="str">
        <f t="shared" si="1"/>
        <v>Сильный признак</v>
      </c>
      <c r="N11" s="1" t="s">
        <v>945</v>
      </c>
    </row>
    <row r="12" spans="1:14" ht="25.5">
      <c r="A12" s="1" t="s">
        <v>59</v>
      </c>
      <c r="B12" s="1" t="s">
        <v>356</v>
      </c>
      <c r="C12" s="1" t="s">
        <v>407</v>
      </c>
      <c r="D12" s="1" t="s">
        <v>162</v>
      </c>
      <c r="E12" s="1" t="s">
        <v>518</v>
      </c>
      <c r="F12" s="1" t="s">
        <v>519</v>
      </c>
      <c r="G12" s="1" t="s">
        <v>507</v>
      </c>
      <c r="H12" s="1">
        <v>1</v>
      </c>
      <c r="I12" s="1">
        <v>3</v>
      </c>
      <c r="J12" s="1">
        <v>2</v>
      </c>
      <c r="K12" s="1">
        <v>4</v>
      </c>
      <c r="L12" s="1">
        <f t="shared" si="0"/>
        <v>3.33</v>
      </c>
      <c r="M12" s="1" t="str">
        <f t="shared" si="1"/>
        <v>Рабочий признак</v>
      </c>
      <c r="N12" s="1" t="s">
        <v>945</v>
      </c>
    </row>
    <row r="13" spans="1:14" ht="25.5">
      <c r="A13" s="1" t="s">
        <v>59</v>
      </c>
      <c r="B13" s="1" t="s">
        <v>356</v>
      </c>
      <c r="C13" s="1" t="s">
        <v>407</v>
      </c>
      <c r="D13" s="1" t="s">
        <v>162</v>
      </c>
      <c r="E13" s="1" t="s">
        <v>520</v>
      </c>
      <c r="F13" s="1" t="s">
        <v>521</v>
      </c>
      <c r="G13" s="1" t="s">
        <v>507</v>
      </c>
      <c r="H13" s="1">
        <v>1</v>
      </c>
      <c r="I13" s="1">
        <v>3</v>
      </c>
      <c r="J13" s="1">
        <v>2</v>
      </c>
      <c r="K13" s="1">
        <v>5</v>
      </c>
      <c r="L13" s="1">
        <f t="shared" si="0"/>
        <v>4.17</v>
      </c>
      <c r="M13" s="1" t="str">
        <f t="shared" si="1"/>
        <v>Сильный признак</v>
      </c>
      <c r="N13" s="1" t="s">
        <v>945</v>
      </c>
    </row>
    <row r="14" spans="1:14" ht="25.5">
      <c r="A14" s="1" t="s">
        <v>59</v>
      </c>
      <c r="B14" s="1" t="s">
        <v>356</v>
      </c>
      <c r="C14" s="1" t="s">
        <v>407</v>
      </c>
      <c r="D14" s="1" t="s">
        <v>171</v>
      </c>
      <c r="E14" s="1" t="s">
        <v>522</v>
      </c>
      <c r="F14" s="1" t="s">
        <v>523</v>
      </c>
      <c r="G14" s="1" t="s">
        <v>507</v>
      </c>
      <c r="H14" s="1">
        <v>1</v>
      </c>
      <c r="I14" s="1">
        <v>3</v>
      </c>
      <c r="J14" s="1">
        <v>2</v>
      </c>
      <c r="K14" s="1">
        <v>4</v>
      </c>
      <c r="L14" s="1">
        <f t="shared" si="0"/>
        <v>3.33</v>
      </c>
      <c r="M14" s="1" t="str">
        <f t="shared" si="1"/>
        <v>Рабочий признак</v>
      </c>
      <c r="N14" s="1" t="s">
        <v>945</v>
      </c>
    </row>
    <row r="15" spans="1:14" ht="25.5">
      <c r="A15" s="1" t="s">
        <v>59</v>
      </c>
      <c r="B15" s="1" t="s">
        <v>356</v>
      </c>
      <c r="C15" s="1" t="s">
        <v>407</v>
      </c>
      <c r="D15" s="1" t="s">
        <v>171</v>
      </c>
      <c r="E15" s="1" t="s">
        <v>892</v>
      </c>
      <c r="F15" s="1" t="s">
        <v>893</v>
      </c>
      <c r="G15" s="1" t="s">
        <v>507</v>
      </c>
      <c r="H15" s="1">
        <v>1</v>
      </c>
      <c r="I15" s="1">
        <v>2</v>
      </c>
      <c r="J15" s="1">
        <v>2</v>
      </c>
      <c r="K15" s="1">
        <v>3</v>
      </c>
      <c r="L15" s="1">
        <f t="shared" si="0"/>
        <v>2</v>
      </c>
      <c r="M15" s="1" t="str">
        <f t="shared" si="1"/>
        <v>Рабочий признак</v>
      </c>
      <c r="N15" s="1" t="s">
        <v>945</v>
      </c>
    </row>
    <row r="16" spans="1:14" ht="25.5">
      <c r="A16" s="1" t="s">
        <v>59</v>
      </c>
      <c r="B16" s="1" t="s">
        <v>356</v>
      </c>
      <c r="C16" s="1" t="s">
        <v>407</v>
      </c>
      <c r="D16" s="1" t="s">
        <v>171</v>
      </c>
      <c r="E16" s="1" t="s">
        <v>524</v>
      </c>
      <c r="F16" s="1" t="s">
        <v>525</v>
      </c>
      <c r="G16" s="1" t="s">
        <v>507</v>
      </c>
      <c r="H16" s="1">
        <v>1</v>
      </c>
      <c r="I16" s="1">
        <v>2</v>
      </c>
      <c r="J16" s="1">
        <v>2</v>
      </c>
      <c r="K16" s="1">
        <v>2</v>
      </c>
      <c r="L16" s="1">
        <f t="shared" si="0"/>
        <v>1.33</v>
      </c>
      <c r="M16" s="1" t="str">
        <f t="shared" si="1"/>
        <v>Слабый признак</v>
      </c>
      <c r="N16" s="1" t="s">
        <v>945</v>
      </c>
    </row>
    <row r="17" spans="1:14" ht="25.5">
      <c r="A17" s="1" t="s">
        <v>60</v>
      </c>
      <c r="B17" s="1" t="s">
        <v>365</v>
      </c>
      <c r="C17" s="1" t="s">
        <v>431</v>
      </c>
      <c r="D17" s="1" t="s">
        <v>151</v>
      </c>
      <c r="E17" s="1" t="s">
        <v>499</v>
      </c>
      <c r="F17" s="1" t="s">
        <v>526</v>
      </c>
      <c r="G17" s="1" t="s">
        <v>501</v>
      </c>
      <c r="H17" s="1">
        <v>1</v>
      </c>
      <c r="I17" s="1">
        <v>3</v>
      </c>
      <c r="J17" s="1">
        <v>3</v>
      </c>
      <c r="K17" s="1">
        <v>5</v>
      </c>
      <c r="L17" s="1">
        <f t="shared" si="0"/>
        <v>5</v>
      </c>
      <c r="M17" s="1" t="str">
        <f t="shared" si="1"/>
        <v>Сильный признак</v>
      </c>
      <c r="N17" s="1" t="s">
        <v>945</v>
      </c>
    </row>
    <row r="18" spans="1:14" ht="25.5">
      <c r="A18" s="1" t="s">
        <v>60</v>
      </c>
      <c r="B18" s="1" t="s">
        <v>365</v>
      </c>
      <c r="C18" s="1" t="s">
        <v>431</v>
      </c>
      <c r="D18" s="1" t="s">
        <v>158</v>
      </c>
      <c r="E18" s="1" t="s">
        <v>502</v>
      </c>
      <c r="F18" s="1" t="s">
        <v>527</v>
      </c>
      <c r="G18" s="1" t="s">
        <v>504</v>
      </c>
      <c r="H18" s="1">
        <v>1</v>
      </c>
      <c r="I18" s="1">
        <v>3</v>
      </c>
      <c r="J18" s="1">
        <v>3</v>
      </c>
      <c r="K18" s="1">
        <v>4</v>
      </c>
      <c r="L18" s="1">
        <f t="shared" si="0"/>
        <v>4</v>
      </c>
      <c r="M18" s="1" t="str">
        <f t="shared" si="1"/>
        <v>Сильный признак</v>
      </c>
      <c r="N18" s="1" t="s">
        <v>945</v>
      </c>
    </row>
    <row r="19" spans="1:14" ht="25.5">
      <c r="A19" s="1" t="s">
        <v>60</v>
      </c>
      <c r="B19" s="1" t="s">
        <v>365</v>
      </c>
      <c r="C19" s="1" t="s">
        <v>431</v>
      </c>
      <c r="D19" s="1" t="s">
        <v>158</v>
      </c>
      <c r="E19" s="1" t="s">
        <v>505</v>
      </c>
      <c r="F19" s="1" t="s">
        <v>506</v>
      </c>
      <c r="G19" s="1" t="s">
        <v>507</v>
      </c>
      <c r="H19" s="1">
        <v>1</v>
      </c>
      <c r="I19" s="1">
        <v>3</v>
      </c>
      <c r="J19" s="1">
        <v>2</v>
      </c>
      <c r="K19" s="1">
        <v>5</v>
      </c>
      <c r="L19" s="1">
        <f t="shared" si="0"/>
        <v>4.17</v>
      </c>
      <c r="M19" s="1" t="str">
        <f t="shared" si="1"/>
        <v>Сильный признак</v>
      </c>
      <c r="N19" s="1" t="s">
        <v>945</v>
      </c>
    </row>
    <row r="20" spans="1:14" ht="25.5">
      <c r="A20" s="1" t="s">
        <v>60</v>
      </c>
      <c r="B20" s="1" t="s">
        <v>365</v>
      </c>
      <c r="C20" s="1" t="s">
        <v>431</v>
      </c>
      <c r="D20" s="1" t="s">
        <v>162</v>
      </c>
      <c r="E20" s="1" t="s">
        <v>508</v>
      </c>
      <c r="F20" s="1" t="s">
        <v>528</v>
      </c>
      <c r="G20" s="1" t="s">
        <v>507</v>
      </c>
      <c r="H20" s="1">
        <v>1</v>
      </c>
      <c r="I20" s="1">
        <v>3</v>
      </c>
      <c r="J20" s="1">
        <v>2</v>
      </c>
      <c r="K20" s="1">
        <v>5</v>
      </c>
      <c r="L20" s="1">
        <f t="shared" si="0"/>
        <v>4.17</v>
      </c>
      <c r="M20" s="1" t="str">
        <f t="shared" si="1"/>
        <v>Сильный признак</v>
      </c>
      <c r="N20" s="1" t="s">
        <v>945</v>
      </c>
    </row>
    <row r="21" spans="1:14" ht="25.5">
      <c r="A21" s="1" t="s">
        <v>60</v>
      </c>
      <c r="B21" s="1" t="s">
        <v>365</v>
      </c>
      <c r="C21" s="1" t="s">
        <v>431</v>
      </c>
      <c r="D21" s="1" t="s">
        <v>162</v>
      </c>
      <c r="E21" s="1" t="s">
        <v>510</v>
      </c>
      <c r="F21" s="1" t="s">
        <v>511</v>
      </c>
      <c r="G21" s="1" t="s">
        <v>507</v>
      </c>
      <c r="H21" s="1">
        <v>1</v>
      </c>
      <c r="I21" s="1">
        <v>2</v>
      </c>
      <c r="J21" s="1">
        <v>2</v>
      </c>
      <c r="K21" s="1">
        <v>4</v>
      </c>
      <c r="L21" s="1">
        <f t="shared" si="0"/>
        <v>2.67</v>
      </c>
      <c r="M21" s="1" t="str">
        <f t="shared" si="1"/>
        <v>Рабочий признак</v>
      </c>
      <c r="N21" s="1" t="s">
        <v>945</v>
      </c>
    </row>
    <row r="22" spans="1:14" ht="25.5">
      <c r="A22" s="1" t="s">
        <v>60</v>
      </c>
      <c r="B22" s="1" t="s">
        <v>365</v>
      </c>
      <c r="C22" s="1" t="s">
        <v>431</v>
      </c>
      <c r="D22" s="1" t="s">
        <v>171</v>
      </c>
      <c r="E22" s="1" t="s">
        <v>529</v>
      </c>
      <c r="F22" s="1" t="s">
        <v>530</v>
      </c>
      <c r="G22" s="1" t="s">
        <v>507</v>
      </c>
      <c r="H22" s="1">
        <v>1</v>
      </c>
      <c r="I22" s="1">
        <v>3</v>
      </c>
      <c r="J22" s="1">
        <v>2</v>
      </c>
      <c r="K22" s="1">
        <v>3</v>
      </c>
      <c r="L22" s="1">
        <f t="shared" si="0"/>
        <v>2.5</v>
      </c>
      <c r="M22" s="1" t="str">
        <f t="shared" si="1"/>
        <v>Рабочий признак</v>
      </c>
      <c r="N22" s="1" t="s">
        <v>945</v>
      </c>
    </row>
    <row r="23" spans="1:14" ht="25.5">
      <c r="A23" s="1" t="s">
        <v>60</v>
      </c>
      <c r="B23" s="1" t="s">
        <v>365</v>
      </c>
      <c r="C23" s="1" t="s">
        <v>431</v>
      </c>
      <c r="D23" s="1" t="s">
        <v>171</v>
      </c>
      <c r="E23" s="1" t="s">
        <v>512</v>
      </c>
      <c r="F23" s="1" t="s">
        <v>513</v>
      </c>
      <c r="G23" s="1" t="s">
        <v>507</v>
      </c>
      <c r="H23" s="1">
        <v>1</v>
      </c>
      <c r="I23" s="1">
        <v>2</v>
      </c>
      <c r="J23" s="1">
        <v>2</v>
      </c>
      <c r="K23" s="1">
        <v>4</v>
      </c>
      <c r="L23" s="1">
        <f t="shared" si="0"/>
        <v>2.67</v>
      </c>
      <c r="M23" s="1" t="str">
        <f t="shared" si="1"/>
        <v>Рабочий признак</v>
      </c>
      <c r="N23" s="1" t="s">
        <v>945</v>
      </c>
    </row>
    <row r="24" spans="1:14" ht="25.5">
      <c r="A24" s="1" t="s">
        <v>60</v>
      </c>
      <c r="B24" s="1" t="s">
        <v>365</v>
      </c>
      <c r="C24" s="1" t="s">
        <v>431</v>
      </c>
      <c r="D24" s="1" t="s">
        <v>171</v>
      </c>
      <c r="E24" s="1" t="s">
        <v>514</v>
      </c>
      <c r="F24" s="1" t="s">
        <v>515</v>
      </c>
      <c r="G24" s="1" t="s">
        <v>507</v>
      </c>
      <c r="H24" s="1">
        <v>1</v>
      </c>
      <c r="I24" s="1">
        <v>2</v>
      </c>
      <c r="J24" s="1">
        <v>2</v>
      </c>
      <c r="K24" s="1">
        <v>3</v>
      </c>
      <c r="L24" s="1">
        <f t="shared" si="0"/>
        <v>2</v>
      </c>
      <c r="M24" s="1" t="str">
        <f t="shared" si="1"/>
        <v>Рабочий признак</v>
      </c>
      <c r="N24" s="1" t="s">
        <v>945</v>
      </c>
    </row>
    <row r="25" spans="1:14" ht="25.5">
      <c r="A25" s="1" t="s">
        <v>60</v>
      </c>
      <c r="B25" s="1" t="s">
        <v>365</v>
      </c>
      <c r="C25" s="1" t="s">
        <v>431</v>
      </c>
      <c r="D25" s="1" t="s">
        <v>162</v>
      </c>
      <c r="E25" s="1" t="s">
        <v>516</v>
      </c>
      <c r="F25" s="1" t="s">
        <v>517</v>
      </c>
      <c r="G25" s="1" t="s">
        <v>507</v>
      </c>
      <c r="H25" s="1">
        <v>1</v>
      </c>
      <c r="I25" s="1">
        <v>3</v>
      </c>
      <c r="J25" s="1">
        <v>2</v>
      </c>
      <c r="K25" s="1">
        <v>5</v>
      </c>
      <c r="L25" s="1">
        <f t="shared" si="0"/>
        <v>4.17</v>
      </c>
      <c r="M25" s="1" t="str">
        <f t="shared" si="1"/>
        <v>Сильный признак</v>
      </c>
      <c r="N25" s="1" t="s">
        <v>945</v>
      </c>
    </row>
    <row r="26" spans="1:14" ht="25.5">
      <c r="A26" s="1" t="s">
        <v>60</v>
      </c>
      <c r="B26" s="1" t="s">
        <v>365</v>
      </c>
      <c r="C26" s="1" t="s">
        <v>431</v>
      </c>
      <c r="D26" s="1" t="s">
        <v>162</v>
      </c>
      <c r="E26" s="1" t="s">
        <v>518</v>
      </c>
      <c r="F26" s="1" t="s">
        <v>519</v>
      </c>
      <c r="G26" s="1" t="s">
        <v>507</v>
      </c>
      <c r="H26" s="1">
        <v>1</v>
      </c>
      <c r="I26" s="1">
        <v>3</v>
      </c>
      <c r="J26" s="1">
        <v>2</v>
      </c>
      <c r="K26" s="1">
        <v>4</v>
      </c>
      <c r="L26" s="1">
        <f t="shared" si="0"/>
        <v>3.33</v>
      </c>
      <c r="M26" s="1" t="str">
        <f t="shared" si="1"/>
        <v>Рабочий признак</v>
      </c>
      <c r="N26" s="1" t="s">
        <v>945</v>
      </c>
    </row>
    <row r="27" spans="1:14" ht="25.5">
      <c r="A27" s="1" t="s">
        <v>60</v>
      </c>
      <c r="B27" s="1" t="s">
        <v>365</v>
      </c>
      <c r="C27" s="1" t="s">
        <v>431</v>
      </c>
      <c r="D27" s="1" t="s">
        <v>162</v>
      </c>
      <c r="E27" s="1" t="s">
        <v>520</v>
      </c>
      <c r="F27" s="1" t="s">
        <v>521</v>
      </c>
      <c r="G27" s="1" t="s">
        <v>507</v>
      </c>
      <c r="H27" s="1">
        <v>1</v>
      </c>
      <c r="I27" s="1">
        <v>3</v>
      </c>
      <c r="J27" s="1">
        <v>2</v>
      </c>
      <c r="K27" s="1">
        <v>5</v>
      </c>
      <c r="L27" s="1">
        <f t="shared" si="0"/>
        <v>4.17</v>
      </c>
      <c r="M27" s="1" t="str">
        <f t="shared" si="1"/>
        <v>Сильный признак</v>
      </c>
      <c r="N27" s="1" t="s">
        <v>945</v>
      </c>
    </row>
    <row r="28" spans="1:14" ht="25.5">
      <c r="A28" s="1" t="s">
        <v>60</v>
      </c>
      <c r="B28" s="1" t="s">
        <v>365</v>
      </c>
      <c r="C28" s="1" t="s">
        <v>431</v>
      </c>
      <c r="D28" s="1" t="s">
        <v>171</v>
      </c>
      <c r="E28" s="1" t="s">
        <v>522</v>
      </c>
      <c r="F28" s="1" t="s">
        <v>523</v>
      </c>
      <c r="G28" s="1" t="s">
        <v>507</v>
      </c>
      <c r="H28" s="1">
        <v>1</v>
      </c>
      <c r="I28" s="1">
        <v>3</v>
      </c>
      <c r="J28" s="1">
        <v>2</v>
      </c>
      <c r="K28" s="1">
        <v>4</v>
      </c>
      <c r="L28" s="1">
        <f t="shared" si="0"/>
        <v>3.33</v>
      </c>
      <c r="M28" s="1" t="str">
        <f t="shared" si="1"/>
        <v>Рабочий признак</v>
      </c>
      <c r="N28" s="1" t="s">
        <v>945</v>
      </c>
    </row>
    <row r="29" spans="1:14" ht="25.5">
      <c r="A29" s="1" t="s">
        <v>60</v>
      </c>
      <c r="B29" s="1" t="s">
        <v>365</v>
      </c>
      <c r="C29" s="1" t="s">
        <v>431</v>
      </c>
      <c r="D29" s="1" t="s">
        <v>171</v>
      </c>
      <c r="E29" s="1" t="s">
        <v>892</v>
      </c>
      <c r="F29" s="1" t="s">
        <v>893</v>
      </c>
      <c r="G29" s="1" t="s">
        <v>507</v>
      </c>
      <c r="H29" s="1">
        <v>1</v>
      </c>
      <c r="I29" s="1">
        <v>2</v>
      </c>
      <c r="J29" s="1">
        <v>2</v>
      </c>
      <c r="K29" s="1">
        <v>3</v>
      </c>
      <c r="L29" s="1">
        <f t="shared" si="0"/>
        <v>2</v>
      </c>
      <c r="M29" s="1" t="str">
        <f t="shared" si="1"/>
        <v>Рабочий признак</v>
      </c>
      <c r="N29" s="1" t="s">
        <v>945</v>
      </c>
    </row>
    <row r="30" spans="1:14" ht="25.5">
      <c r="A30" s="1" t="s">
        <v>61</v>
      </c>
      <c r="B30" s="1" t="s">
        <v>371</v>
      </c>
      <c r="C30" s="1" t="s">
        <v>531</v>
      </c>
      <c r="D30" s="1" t="s">
        <v>151</v>
      </c>
      <c r="E30" s="1" t="s">
        <v>499</v>
      </c>
      <c r="F30" s="1" t="s">
        <v>532</v>
      </c>
      <c r="G30" s="1" t="s">
        <v>501</v>
      </c>
      <c r="H30" s="1">
        <v>1</v>
      </c>
      <c r="I30" s="1">
        <v>3</v>
      </c>
      <c r="J30" s="1">
        <v>3</v>
      </c>
      <c r="K30" s="1">
        <v>5</v>
      </c>
      <c r="L30" s="1">
        <f t="shared" si="0"/>
        <v>5</v>
      </c>
      <c r="M30" s="1" t="str">
        <f t="shared" si="1"/>
        <v>Сильный признак</v>
      </c>
      <c r="N30" s="1" t="s">
        <v>945</v>
      </c>
    </row>
    <row r="31" spans="1:14" ht="25.5">
      <c r="A31" s="1" t="s">
        <v>61</v>
      </c>
      <c r="B31" s="1" t="s">
        <v>371</v>
      </c>
      <c r="C31" s="1" t="s">
        <v>531</v>
      </c>
      <c r="D31" s="1" t="s">
        <v>158</v>
      </c>
      <c r="E31" s="1" t="s">
        <v>502</v>
      </c>
      <c r="F31" s="1" t="s">
        <v>533</v>
      </c>
      <c r="G31" s="1" t="s">
        <v>504</v>
      </c>
      <c r="H31" s="1">
        <v>1</v>
      </c>
      <c r="I31" s="1">
        <v>3</v>
      </c>
      <c r="J31" s="1">
        <v>3</v>
      </c>
      <c r="K31" s="1">
        <v>4</v>
      </c>
      <c r="L31" s="1">
        <f t="shared" si="0"/>
        <v>4</v>
      </c>
      <c r="M31" s="1" t="str">
        <f t="shared" si="1"/>
        <v>Сильный признак</v>
      </c>
      <c r="N31" s="1" t="s">
        <v>945</v>
      </c>
    </row>
    <row r="32" spans="1:14" ht="25.5">
      <c r="A32" s="1" t="s">
        <v>61</v>
      </c>
      <c r="B32" s="1" t="s">
        <v>371</v>
      </c>
      <c r="C32" s="1" t="s">
        <v>531</v>
      </c>
      <c r="D32" s="1" t="s">
        <v>158</v>
      </c>
      <c r="E32" s="1" t="s">
        <v>505</v>
      </c>
      <c r="F32" s="1" t="s">
        <v>506</v>
      </c>
      <c r="G32" s="1" t="s">
        <v>507</v>
      </c>
      <c r="H32" s="1">
        <v>1</v>
      </c>
      <c r="I32" s="1">
        <v>3</v>
      </c>
      <c r="J32" s="1">
        <v>3</v>
      </c>
      <c r="K32" s="1">
        <v>5</v>
      </c>
      <c r="L32" s="1">
        <f t="shared" si="0"/>
        <v>5</v>
      </c>
      <c r="M32" s="1" t="str">
        <f t="shared" si="1"/>
        <v>Сильный признак</v>
      </c>
      <c r="N32" s="1" t="s">
        <v>945</v>
      </c>
    </row>
    <row r="33" spans="1:14" ht="25.5">
      <c r="A33" s="1" t="s">
        <v>61</v>
      </c>
      <c r="B33" s="1" t="s">
        <v>371</v>
      </c>
      <c r="C33" s="1" t="s">
        <v>453</v>
      </c>
      <c r="D33" s="1" t="s">
        <v>162</v>
      </c>
      <c r="E33" s="1" t="s">
        <v>508</v>
      </c>
      <c r="F33" s="1" t="s">
        <v>534</v>
      </c>
      <c r="G33" s="1" t="s">
        <v>507</v>
      </c>
      <c r="H33" s="1">
        <v>1</v>
      </c>
      <c r="I33" s="1">
        <v>3</v>
      </c>
      <c r="J33" s="1">
        <v>3</v>
      </c>
      <c r="K33" s="1">
        <v>5</v>
      </c>
      <c r="L33" s="1">
        <f t="shared" si="0"/>
        <v>5</v>
      </c>
      <c r="M33" s="1" t="str">
        <f t="shared" si="1"/>
        <v>Сильный признак</v>
      </c>
      <c r="N33" s="1" t="s">
        <v>945</v>
      </c>
    </row>
    <row r="34" spans="1:14" ht="25.5">
      <c r="A34" s="1" t="s">
        <v>61</v>
      </c>
      <c r="B34" s="1" t="s">
        <v>371</v>
      </c>
      <c r="C34" s="1" t="s">
        <v>453</v>
      </c>
      <c r="D34" s="1" t="s">
        <v>162</v>
      </c>
      <c r="E34" s="1" t="s">
        <v>535</v>
      </c>
      <c r="F34" s="1" t="s">
        <v>787</v>
      </c>
      <c r="G34" s="1" t="s">
        <v>507</v>
      </c>
      <c r="H34" s="1">
        <v>1</v>
      </c>
      <c r="I34" s="1">
        <v>3</v>
      </c>
      <c r="J34" s="1">
        <v>3</v>
      </c>
      <c r="K34" s="1">
        <v>4</v>
      </c>
      <c r="L34" s="1">
        <f t="shared" si="0"/>
        <v>4</v>
      </c>
      <c r="M34" s="1" t="str">
        <f t="shared" si="1"/>
        <v>Сильный признак</v>
      </c>
      <c r="N34" s="1" t="s">
        <v>945</v>
      </c>
    </row>
    <row r="35" spans="1:14" ht="25.5">
      <c r="A35" s="1" t="s">
        <v>61</v>
      </c>
      <c r="B35" s="1" t="s">
        <v>371</v>
      </c>
      <c r="C35" s="1" t="s">
        <v>453</v>
      </c>
      <c r="D35" s="1" t="s">
        <v>162</v>
      </c>
      <c r="E35" s="1" t="s">
        <v>536</v>
      </c>
      <c r="F35" s="1" t="s">
        <v>537</v>
      </c>
      <c r="G35" s="1" t="s">
        <v>507</v>
      </c>
      <c r="H35" s="1">
        <v>1</v>
      </c>
      <c r="I35" s="1">
        <v>3</v>
      </c>
      <c r="J35" s="1">
        <v>3</v>
      </c>
      <c r="K35" s="1">
        <v>5</v>
      </c>
      <c r="L35" s="1">
        <f t="shared" si="0"/>
        <v>5</v>
      </c>
      <c r="M35" s="1" t="str">
        <f t="shared" si="1"/>
        <v>Сильный признак</v>
      </c>
      <c r="N35" s="1" t="s">
        <v>945</v>
      </c>
    </row>
    <row r="36" spans="1:14" ht="25.5">
      <c r="A36" s="1" t="s">
        <v>61</v>
      </c>
      <c r="B36" s="1" t="s">
        <v>371</v>
      </c>
      <c r="C36" s="1" t="s">
        <v>453</v>
      </c>
      <c r="D36" s="1" t="s">
        <v>171</v>
      </c>
      <c r="E36" s="1" t="s">
        <v>538</v>
      </c>
      <c r="F36" s="1" t="s">
        <v>539</v>
      </c>
      <c r="G36" s="1" t="s">
        <v>507</v>
      </c>
      <c r="H36" s="1">
        <v>1</v>
      </c>
      <c r="I36" s="1">
        <v>3</v>
      </c>
      <c r="J36" s="1">
        <v>3</v>
      </c>
      <c r="K36" s="1">
        <v>2</v>
      </c>
      <c r="L36" s="1">
        <f t="shared" si="0"/>
        <v>2</v>
      </c>
      <c r="M36" s="1" t="str">
        <f t="shared" si="1"/>
        <v>Рабочий признак</v>
      </c>
      <c r="N36" s="1" t="s">
        <v>945</v>
      </c>
    </row>
    <row r="37" spans="1:14" ht="25.5">
      <c r="A37" s="1" t="s">
        <v>61</v>
      </c>
      <c r="B37" s="1" t="s">
        <v>371</v>
      </c>
      <c r="C37" s="1" t="s">
        <v>453</v>
      </c>
      <c r="D37" s="1" t="s">
        <v>162</v>
      </c>
      <c r="E37" s="1" t="s">
        <v>540</v>
      </c>
      <c r="F37" s="1" t="s">
        <v>541</v>
      </c>
      <c r="G37" s="1" t="s">
        <v>507</v>
      </c>
      <c r="H37" s="1">
        <v>1</v>
      </c>
      <c r="I37" s="1">
        <v>3</v>
      </c>
      <c r="J37" s="1">
        <v>3</v>
      </c>
      <c r="K37" s="1">
        <v>3</v>
      </c>
      <c r="L37" s="1">
        <f t="shared" si="0"/>
        <v>3</v>
      </c>
      <c r="M37" s="1" t="str">
        <f t="shared" si="1"/>
        <v>Рабочий признак</v>
      </c>
      <c r="N37" s="1" t="s">
        <v>945</v>
      </c>
    </row>
    <row r="38" spans="1:14" ht="25.5">
      <c r="A38" s="1" t="s">
        <v>61</v>
      </c>
      <c r="B38" s="1" t="s">
        <v>371</v>
      </c>
      <c r="C38" s="1" t="s">
        <v>453</v>
      </c>
      <c r="D38" s="1" t="s">
        <v>171</v>
      </c>
      <c r="E38" s="1" t="s">
        <v>542</v>
      </c>
      <c r="F38" s="1" t="s">
        <v>543</v>
      </c>
      <c r="G38" s="1" t="s">
        <v>507</v>
      </c>
      <c r="H38" s="1">
        <v>1</v>
      </c>
      <c r="I38" s="1">
        <v>3</v>
      </c>
      <c r="J38" s="1">
        <v>3</v>
      </c>
      <c r="K38" s="1">
        <v>3</v>
      </c>
      <c r="L38" s="1">
        <f t="shared" si="0"/>
        <v>3</v>
      </c>
      <c r="M38" s="1" t="str">
        <f t="shared" si="1"/>
        <v>Рабочий признак</v>
      </c>
      <c r="N38" s="1" t="s">
        <v>945</v>
      </c>
    </row>
    <row r="39" spans="1:14" ht="25.5">
      <c r="A39" s="1" t="s">
        <v>61</v>
      </c>
      <c r="B39" s="1" t="s">
        <v>371</v>
      </c>
      <c r="C39" s="1" t="s">
        <v>531</v>
      </c>
      <c r="D39" s="1" t="s">
        <v>171</v>
      </c>
      <c r="E39" s="1" t="s">
        <v>544</v>
      </c>
      <c r="F39" s="1" t="s">
        <v>545</v>
      </c>
      <c r="G39" s="1" t="s">
        <v>507</v>
      </c>
      <c r="H39" s="1">
        <v>1</v>
      </c>
      <c r="I39" s="1">
        <v>3</v>
      </c>
      <c r="J39" s="1">
        <v>3</v>
      </c>
      <c r="K39" s="1">
        <v>4</v>
      </c>
      <c r="L39" s="1">
        <f t="shared" si="0"/>
        <v>4</v>
      </c>
      <c r="M39" s="1" t="str">
        <f t="shared" si="1"/>
        <v>Сильный признак</v>
      </c>
      <c r="N39" s="1" t="s">
        <v>945</v>
      </c>
    </row>
    <row r="40" spans="1:14" ht="25.5">
      <c r="A40" s="1" t="s">
        <v>61</v>
      </c>
      <c r="B40" s="1" t="s">
        <v>371</v>
      </c>
      <c r="C40" s="1" t="s">
        <v>531</v>
      </c>
      <c r="D40" s="1" t="s">
        <v>162</v>
      </c>
      <c r="E40" s="1" t="s">
        <v>510</v>
      </c>
      <c r="F40" s="1" t="s">
        <v>511</v>
      </c>
      <c r="G40" s="1" t="s">
        <v>507</v>
      </c>
      <c r="H40" s="1">
        <v>1</v>
      </c>
      <c r="I40" s="1">
        <v>2</v>
      </c>
      <c r="J40" s="1">
        <v>3</v>
      </c>
      <c r="K40" s="1">
        <v>4</v>
      </c>
      <c r="L40" s="1">
        <f t="shared" si="0"/>
        <v>3.33</v>
      </c>
      <c r="M40" s="1" t="str">
        <f t="shared" si="1"/>
        <v>Рабочий признак</v>
      </c>
      <c r="N40" s="1" t="s">
        <v>945</v>
      </c>
    </row>
    <row r="41" spans="1:14" ht="25.5">
      <c r="A41" s="1" t="s">
        <v>61</v>
      </c>
      <c r="B41" s="1" t="s">
        <v>371</v>
      </c>
      <c r="C41" s="1" t="s">
        <v>531</v>
      </c>
      <c r="D41" s="1" t="s">
        <v>171</v>
      </c>
      <c r="E41" s="1" t="s">
        <v>529</v>
      </c>
      <c r="F41" s="1" t="s">
        <v>530</v>
      </c>
      <c r="G41" s="1" t="s">
        <v>507</v>
      </c>
      <c r="H41" s="1">
        <v>1</v>
      </c>
      <c r="I41" s="1">
        <v>3</v>
      </c>
      <c r="J41" s="1">
        <v>3</v>
      </c>
      <c r="K41" s="1">
        <v>3</v>
      </c>
      <c r="L41" s="1">
        <f t="shared" si="0"/>
        <v>3</v>
      </c>
      <c r="M41" s="1" t="str">
        <f t="shared" si="1"/>
        <v>Рабочий признак</v>
      </c>
      <c r="N41" s="1" t="s">
        <v>945</v>
      </c>
    </row>
    <row r="42" spans="1:14" ht="25.5">
      <c r="A42" s="1" t="s">
        <v>61</v>
      </c>
      <c r="B42" s="1" t="s">
        <v>371</v>
      </c>
      <c r="C42" s="1" t="s">
        <v>531</v>
      </c>
      <c r="D42" s="1" t="s">
        <v>171</v>
      </c>
      <c r="E42" s="1" t="s">
        <v>514</v>
      </c>
      <c r="F42" s="1" t="s">
        <v>515</v>
      </c>
      <c r="G42" s="1" t="s">
        <v>507</v>
      </c>
      <c r="H42" s="1">
        <v>1</v>
      </c>
      <c r="I42" s="1">
        <v>2</v>
      </c>
      <c r="J42" s="1">
        <v>3</v>
      </c>
      <c r="K42" s="1">
        <v>3</v>
      </c>
      <c r="L42" s="1">
        <f t="shared" si="0"/>
        <v>2.5</v>
      </c>
      <c r="M42" s="1" t="str">
        <f t="shared" si="1"/>
        <v>Рабочий признак</v>
      </c>
      <c r="N42" s="1" t="s">
        <v>945</v>
      </c>
    </row>
    <row r="43" spans="1:14" ht="25.5">
      <c r="A43" s="1" t="s">
        <v>61</v>
      </c>
      <c r="B43" s="1" t="s">
        <v>371</v>
      </c>
      <c r="C43" s="1" t="s">
        <v>531</v>
      </c>
      <c r="D43" s="1" t="s">
        <v>171</v>
      </c>
      <c r="E43" s="1" t="s">
        <v>546</v>
      </c>
      <c r="F43" s="1" t="s">
        <v>547</v>
      </c>
      <c r="G43" s="1" t="s">
        <v>507</v>
      </c>
      <c r="H43" s="1">
        <v>1</v>
      </c>
      <c r="I43" s="1">
        <v>2</v>
      </c>
      <c r="J43" s="1">
        <v>3</v>
      </c>
      <c r="K43" s="1">
        <v>3</v>
      </c>
      <c r="L43" s="1">
        <f t="shared" si="0"/>
        <v>2.5</v>
      </c>
      <c r="M43" s="1" t="str">
        <f t="shared" si="1"/>
        <v>Рабочий признак</v>
      </c>
      <c r="N43" s="1" t="s">
        <v>945</v>
      </c>
    </row>
    <row r="44" spans="1:14" ht="25.5">
      <c r="A44" s="1" t="s">
        <v>61</v>
      </c>
      <c r="B44" s="1" t="s">
        <v>371</v>
      </c>
      <c r="C44" s="1" t="s">
        <v>531</v>
      </c>
      <c r="D44" s="1" t="s">
        <v>171</v>
      </c>
      <c r="E44" s="1" t="s">
        <v>548</v>
      </c>
      <c r="F44" s="1" t="s">
        <v>549</v>
      </c>
      <c r="G44" s="1" t="s">
        <v>507</v>
      </c>
      <c r="H44" s="1">
        <v>1</v>
      </c>
      <c r="I44" s="1">
        <v>2</v>
      </c>
      <c r="J44" s="1">
        <v>3</v>
      </c>
      <c r="K44" s="1">
        <v>3</v>
      </c>
      <c r="L44" s="1">
        <f t="shared" si="0"/>
        <v>2.5</v>
      </c>
      <c r="M44" s="1" t="str">
        <f t="shared" si="1"/>
        <v>Рабочий признак</v>
      </c>
      <c r="N44" s="1" t="s">
        <v>945</v>
      </c>
    </row>
    <row r="45" spans="1:14" ht="25.5">
      <c r="A45" s="1" t="s">
        <v>61</v>
      </c>
      <c r="B45" s="1" t="s">
        <v>371</v>
      </c>
      <c r="C45" s="1" t="s">
        <v>453</v>
      </c>
      <c r="D45" s="1" t="s">
        <v>171</v>
      </c>
      <c r="E45" s="1" t="s">
        <v>550</v>
      </c>
      <c r="F45" s="1" t="s">
        <v>551</v>
      </c>
      <c r="G45" s="1" t="s">
        <v>507</v>
      </c>
      <c r="H45" s="1">
        <v>1</v>
      </c>
      <c r="I45" s="1">
        <v>3</v>
      </c>
      <c r="J45" s="1">
        <v>3</v>
      </c>
      <c r="K45" s="1">
        <v>2</v>
      </c>
      <c r="L45" s="1">
        <f t="shared" si="0"/>
        <v>2</v>
      </c>
      <c r="M45" s="1" t="str">
        <f t="shared" si="1"/>
        <v>Рабочий признак</v>
      </c>
      <c r="N45" s="1" t="s">
        <v>945</v>
      </c>
    </row>
    <row r="46" spans="1:14" ht="25.5">
      <c r="A46" s="1" t="s">
        <v>61</v>
      </c>
      <c r="B46" s="1" t="s">
        <v>371</v>
      </c>
      <c r="C46" s="1" t="s">
        <v>531</v>
      </c>
      <c r="D46" s="1" t="s">
        <v>162</v>
      </c>
      <c r="E46" s="1" t="s">
        <v>552</v>
      </c>
      <c r="F46" s="1" t="s">
        <v>553</v>
      </c>
      <c r="G46" s="1" t="s">
        <v>507</v>
      </c>
      <c r="H46" s="1">
        <v>1</v>
      </c>
      <c r="I46" s="1">
        <v>2</v>
      </c>
      <c r="J46" s="1">
        <v>3</v>
      </c>
      <c r="K46" s="1">
        <v>3</v>
      </c>
      <c r="L46" s="1">
        <f t="shared" si="0"/>
        <v>2.5</v>
      </c>
      <c r="M46" s="1" t="str">
        <f t="shared" si="1"/>
        <v>Рабочий признак</v>
      </c>
      <c r="N46" s="1" t="s">
        <v>945</v>
      </c>
    </row>
    <row r="47" spans="1:14" ht="25.5">
      <c r="A47" s="1" t="s">
        <v>61</v>
      </c>
      <c r="B47" s="1" t="s">
        <v>371</v>
      </c>
      <c r="C47" s="1" t="s">
        <v>531</v>
      </c>
      <c r="D47" s="1" t="s">
        <v>162</v>
      </c>
      <c r="E47" s="1" t="s">
        <v>554</v>
      </c>
      <c r="F47" s="1" t="s">
        <v>555</v>
      </c>
      <c r="G47" s="1" t="s">
        <v>507</v>
      </c>
      <c r="H47" s="1">
        <v>1</v>
      </c>
      <c r="I47" s="1">
        <v>3</v>
      </c>
      <c r="J47" s="1">
        <v>3</v>
      </c>
      <c r="K47" s="1">
        <v>4</v>
      </c>
      <c r="L47" s="1">
        <f t="shared" si="0"/>
        <v>4</v>
      </c>
      <c r="M47" s="1" t="str">
        <f t="shared" si="1"/>
        <v>Сильный признак</v>
      </c>
      <c r="N47" s="1" t="s">
        <v>945</v>
      </c>
    </row>
    <row r="48" spans="1:14" ht="25.5">
      <c r="A48" s="1" t="s">
        <v>61</v>
      </c>
      <c r="B48" s="1" t="s">
        <v>371</v>
      </c>
      <c r="C48" s="1" t="s">
        <v>531</v>
      </c>
      <c r="D48" s="1" t="s">
        <v>162</v>
      </c>
      <c r="E48" s="1" t="s">
        <v>516</v>
      </c>
      <c r="F48" s="1" t="s">
        <v>517</v>
      </c>
      <c r="G48" s="1" t="s">
        <v>507</v>
      </c>
      <c r="H48" s="1">
        <v>1</v>
      </c>
      <c r="I48" s="1">
        <v>3</v>
      </c>
      <c r="J48" s="1">
        <v>3</v>
      </c>
      <c r="K48" s="1">
        <v>5</v>
      </c>
      <c r="L48" s="1">
        <f t="shared" si="0"/>
        <v>5</v>
      </c>
      <c r="M48" s="1" t="str">
        <f t="shared" si="1"/>
        <v>Сильный признак</v>
      </c>
      <c r="N48" s="1" t="s">
        <v>945</v>
      </c>
    </row>
    <row r="49" spans="1:14" ht="25.5">
      <c r="A49" s="1" t="s">
        <v>61</v>
      </c>
      <c r="B49" s="1" t="s">
        <v>371</v>
      </c>
      <c r="C49" s="1" t="s">
        <v>531</v>
      </c>
      <c r="D49" s="1" t="s">
        <v>171</v>
      </c>
      <c r="E49" s="1" t="s">
        <v>556</v>
      </c>
      <c r="F49" s="1" t="s">
        <v>557</v>
      </c>
      <c r="G49" s="1" t="s">
        <v>507</v>
      </c>
      <c r="H49" s="1">
        <v>1</v>
      </c>
      <c r="I49" s="1">
        <v>3</v>
      </c>
      <c r="J49" s="1">
        <v>3</v>
      </c>
      <c r="K49" s="1">
        <v>3</v>
      </c>
      <c r="L49" s="1">
        <f t="shared" si="0"/>
        <v>3</v>
      </c>
      <c r="M49" s="1" t="str">
        <f t="shared" si="1"/>
        <v>Рабочий признак</v>
      </c>
      <c r="N49" s="1" t="s">
        <v>945</v>
      </c>
    </row>
    <row r="50" spans="1:14" ht="25.5">
      <c r="A50" s="1" t="s">
        <v>61</v>
      </c>
      <c r="B50" s="1" t="s">
        <v>371</v>
      </c>
      <c r="C50" s="1" t="s">
        <v>531</v>
      </c>
      <c r="D50" s="1" t="s">
        <v>162</v>
      </c>
      <c r="E50" s="1" t="s">
        <v>518</v>
      </c>
      <c r="F50" s="1" t="s">
        <v>519</v>
      </c>
      <c r="G50" s="1" t="s">
        <v>507</v>
      </c>
      <c r="H50" s="1">
        <v>1</v>
      </c>
      <c r="I50" s="1">
        <v>3</v>
      </c>
      <c r="J50" s="1">
        <v>3</v>
      </c>
      <c r="K50" s="1">
        <v>4</v>
      </c>
      <c r="L50" s="1">
        <f t="shared" si="0"/>
        <v>4</v>
      </c>
      <c r="M50" s="1" t="str">
        <f t="shared" si="1"/>
        <v>Сильный признак</v>
      </c>
      <c r="N50" s="1" t="s">
        <v>945</v>
      </c>
    </row>
    <row r="51" spans="1:14" ht="25.5">
      <c r="A51" s="1" t="s">
        <v>61</v>
      </c>
      <c r="B51" s="1" t="s">
        <v>371</v>
      </c>
      <c r="C51" s="1" t="s">
        <v>531</v>
      </c>
      <c r="D51" s="1" t="s">
        <v>171</v>
      </c>
      <c r="E51" s="1" t="s">
        <v>522</v>
      </c>
      <c r="F51" s="1" t="s">
        <v>523</v>
      </c>
      <c r="G51" s="1" t="s">
        <v>507</v>
      </c>
      <c r="H51" s="1">
        <v>1</v>
      </c>
      <c r="I51" s="1">
        <v>3</v>
      </c>
      <c r="J51" s="1">
        <v>3</v>
      </c>
      <c r="K51" s="1">
        <v>4</v>
      </c>
      <c r="L51" s="1">
        <f t="shared" si="0"/>
        <v>4</v>
      </c>
      <c r="M51" s="1" t="str">
        <f t="shared" si="1"/>
        <v>Сильный признак</v>
      </c>
      <c r="N51" s="1" t="s">
        <v>945</v>
      </c>
    </row>
    <row r="52" spans="1:14" ht="25.5">
      <c r="A52" s="1" t="s">
        <v>61</v>
      </c>
      <c r="B52" s="1" t="s">
        <v>371</v>
      </c>
      <c r="C52" s="1" t="s">
        <v>531</v>
      </c>
      <c r="D52" s="1" t="s">
        <v>177</v>
      </c>
      <c r="E52" s="1" t="s">
        <v>558</v>
      </c>
      <c r="F52" s="1" t="s">
        <v>559</v>
      </c>
      <c r="G52" s="1" t="s">
        <v>507</v>
      </c>
      <c r="H52" s="1">
        <v>1</v>
      </c>
      <c r="I52" s="1">
        <v>2</v>
      </c>
      <c r="J52" s="1">
        <v>3</v>
      </c>
      <c r="K52" s="1">
        <v>3</v>
      </c>
      <c r="L52" s="1">
        <f t="shared" si="0"/>
        <v>2.5</v>
      </c>
      <c r="M52" s="1" t="str">
        <f t="shared" si="1"/>
        <v>Рабочий признак</v>
      </c>
      <c r="N52" s="1" t="s">
        <v>945</v>
      </c>
    </row>
    <row r="53" spans="1:14" ht="25.5">
      <c r="A53" s="1" t="s">
        <v>62</v>
      </c>
      <c r="B53" s="1" t="s">
        <v>376</v>
      </c>
      <c r="C53" s="1" t="s">
        <v>456</v>
      </c>
      <c r="D53" s="1" t="s">
        <v>151</v>
      </c>
      <c r="E53" s="1" t="s">
        <v>499</v>
      </c>
      <c r="F53" s="1" t="s">
        <v>560</v>
      </c>
      <c r="G53" s="1" t="s">
        <v>501</v>
      </c>
      <c r="H53" s="1">
        <v>1</v>
      </c>
      <c r="I53" s="1">
        <v>3</v>
      </c>
      <c r="J53" s="1">
        <v>3</v>
      </c>
      <c r="K53" s="1">
        <v>5</v>
      </c>
      <c r="L53" s="1">
        <f t="shared" si="0"/>
        <v>5</v>
      </c>
      <c r="M53" s="1" t="str">
        <f t="shared" si="1"/>
        <v>Сильный признак</v>
      </c>
      <c r="N53" s="1" t="s">
        <v>945</v>
      </c>
    </row>
    <row r="54" spans="1:14" ht="25.5">
      <c r="A54" s="1" t="s">
        <v>62</v>
      </c>
      <c r="B54" s="1" t="s">
        <v>376</v>
      </c>
      <c r="C54" s="1" t="s">
        <v>456</v>
      </c>
      <c r="D54" s="1" t="s">
        <v>158</v>
      </c>
      <c r="E54" s="1" t="s">
        <v>502</v>
      </c>
      <c r="F54" s="1" t="s">
        <v>561</v>
      </c>
      <c r="G54" s="1" t="s">
        <v>504</v>
      </c>
      <c r="H54" s="1">
        <v>1</v>
      </c>
      <c r="I54" s="1">
        <v>3</v>
      </c>
      <c r="J54" s="1">
        <v>3</v>
      </c>
      <c r="K54" s="1">
        <v>4</v>
      </c>
      <c r="L54" s="1">
        <f t="shared" si="0"/>
        <v>4</v>
      </c>
      <c r="M54" s="1" t="str">
        <f t="shared" si="1"/>
        <v>Сильный признак</v>
      </c>
      <c r="N54" s="1" t="s">
        <v>945</v>
      </c>
    </row>
    <row r="55" spans="1:14" ht="25.5">
      <c r="A55" s="1" t="s">
        <v>62</v>
      </c>
      <c r="B55" s="1" t="s">
        <v>376</v>
      </c>
      <c r="C55" s="1" t="s">
        <v>457</v>
      </c>
      <c r="D55" s="1" t="s">
        <v>162</v>
      </c>
      <c r="E55" s="1" t="s">
        <v>508</v>
      </c>
      <c r="F55" s="1" t="s">
        <v>562</v>
      </c>
      <c r="G55" s="1" t="s">
        <v>507</v>
      </c>
      <c r="H55" s="1">
        <v>1</v>
      </c>
      <c r="I55" s="1">
        <v>3</v>
      </c>
      <c r="J55" s="1">
        <v>3</v>
      </c>
      <c r="K55" s="1">
        <v>5</v>
      </c>
      <c r="L55" s="1">
        <f t="shared" si="0"/>
        <v>5</v>
      </c>
      <c r="M55" s="1" t="str">
        <f t="shared" si="1"/>
        <v>Сильный признак</v>
      </c>
      <c r="N55" s="1" t="s">
        <v>945</v>
      </c>
    </row>
    <row r="56" spans="1:14" ht="25.5">
      <c r="A56" s="1" t="s">
        <v>62</v>
      </c>
      <c r="B56" s="1" t="s">
        <v>376</v>
      </c>
      <c r="C56" s="1" t="s">
        <v>457</v>
      </c>
      <c r="D56" s="1" t="s">
        <v>162</v>
      </c>
      <c r="E56" s="1" t="s">
        <v>535</v>
      </c>
      <c r="F56" s="1" t="s">
        <v>563</v>
      </c>
      <c r="G56" s="1" t="s">
        <v>507</v>
      </c>
      <c r="H56" s="1">
        <v>1</v>
      </c>
      <c r="I56" s="1">
        <v>3</v>
      </c>
      <c r="J56" s="1">
        <v>3</v>
      </c>
      <c r="K56" s="1">
        <v>4</v>
      </c>
      <c r="L56" s="1">
        <f t="shared" si="0"/>
        <v>4</v>
      </c>
      <c r="M56" s="1" t="str">
        <f t="shared" si="1"/>
        <v>Сильный признак</v>
      </c>
      <c r="N56" s="1" t="s">
        <v>945</v>
      </c>
    </row>
    <row r="57" spans="1:14" ht="25.5">
      <c r="A57" s="1" t="s">
        <v>62</v>
      </c>
      <c r="B57" s="1" t="s">
        <v>376</v>
      </c>
      <c r="C57" s="1" t="s">
        <v>457</v>
      </c>
      <c r="D57" s="1" t="s">
        <v>162</v>
      </c>
      <c r="E57" s="1" t="s">
        <v>536</v>
      </c>
      <c r="F57" s="1" t="s">
        <v>537</v>
      </c>
      <c r="G57" s="1" t="s">
        <v>507</v>
      </c>
      <c r="H57" s="1">
        <v>1</v>
      </c>
      <c r="I57" s="1">
        <v>3</v>
      </c>
      <c r="J57" s="1">
        <v>3</v>
      </c>
      <c r="K57" s="1">
        <v>5</v>
      </c>
      <c r="L57" s="1">
        <f t="shared" si="0"/>
        <v>5</v>
      </c>
      <c r="M57" s="1" t="str">
        <f t="shared" si="1"/>
        <v>Сильный признак</v>
      </c>
      <c r="N57" s="1" t="s">
        <v>945</v>
      </c>
    </row>
    <row r="58" spans="1:14" ht="25.5">
      <c r="A58" s="1" t="s">
        <v>62</v>
      </c>
      <c r="B58" s="1" t="s">
        <v>376</v>
      </c>
      <c r="C58" s="1" t="s">
        <v>457</v>
      </c>
      <c r="D58" s="1" t="s">
        <v>171</v>
      </c>
      <c r="E58" s="1" t="s">
        <v>538</v>
      </c>
      <c r="F58" s="1" t="s">
        <v>564</v>
      </c>
      <c r="G58" s="1" t="s">
        <v>507</v>
      </c>
      <c r="H58" s="1">
        <v>1</v>
      </c>
      <c r="I58" s="1">
        <v>3</v>
      </c>
      <c r="J58" s="1">
        <v>3</v>
      </c>
      <c r="K58" s="1">
        <v>2</v>
      </c>
      <c r="L58" s="1">
        <f t="shared" si="0"/>
        <v>2</v>
      </c>
      <c r="M58" s="1" t="str">
        <f t="shared" si="1"/>
        <v>Рабочий признак</v>
      </c>
      <c r="N58" s="1" t="s">
        <v>945</v>
      </c>
    </row>
    <row r="59" spans="1:14" ht="25.5">
      <c r="A59" s="1" t="s">
        <v>62</v>
      </c>
      <c r="B59" s="1" t="s">
        <v>376</v>
      </c>
      <c r="C59" s="1" t="s">
        <v>457</v>
      </c>
      <c r="D59" s="1" t="s">
        <v>162</v>
      </c>
      <c r="E59" s="1" t="s">
        <v>540</v>
      </c>
      <c r="F59" s="1" t="s">
        <v>565</v>
      </c>
      <c r="G59" s="1" t="s">
        <v>507</v>
      </c>
      <c r="H59" s="1">
        <v>1</v>
      </c>
      <c r="I59" s="1">
        <v>3</v>
      </c>
      <c r="J59" s="1">
        <v>3</v>
      </c>
      <c r="K59" s="1">
        <v>3</v>
      </c>
      <c r="L59" s="1">
        <f t="shared" si="0"/>
        <v>3</v>
      </c>
      <c r="M59" s="1" t="str">
        <f t="shared" si="1"/>
        <v>Рабочий признак</v>
      </c>
      <c r="N59" s="1" t="s">
        <v>945</v>
      </c>
    </row>
    <row r="60" spans="1:14" ht="25.5">
      <c r="A60" s="1" t="s">
        <v>62</v>
      </c>
      <c r="B60" s="1" t="s">
        <v>376</v>
      </c>
      <c r="C60" s="1" t="s">
        <v>457</v>
      </c>
      <c r="D60" s="1" t="s">
        <v>171</v>
      </c>
      <c r="E60" s="1" t="s">
        <v>542</v>
      </c>
      <c r="F60" s="1" t="s">
        <v>566</v>
      </c>
      <c r="G60" s="1" t="s">
        <v>507</v>
      </c>
      <c r="H60" s="1">
        <v>1</v>
      </c>
      <c r="I60" s="1">
        <v>3</v>
      </c>
      <c r="J60" s="1">
        <v>3</v>
      </c>
      <c r="K60" s="1">
        <v>3</v>
      </c>
      <c r="L60" s="1">
        <f t="shared" si="0"/>
        <v>3</v>
      </c>
      <c r="M60" s="1" t="str">
        <f t="shared" si="1"/>
        <v>Рабочий признак</v>
      </c>
      <c r="N60" s="1" t="s">
        <v>945</v>
      </c>
    </row>
    <row r="61" spans="1:14" ht="25.5">
      <c r="A61" s="1" t="s">
        <v>62</v>
      </c>
      <c r="B61" s="1" t="s">
        <v>376</v>
      </c>
      <c r="C61" s="1" t="s">
        <v>456</v>
      </c>
      <c r="D61" s="1" t="s">
        <v>171</v>
      </c>
      <c r="E61" s="1" t="s">
        <v>544</v>
      </c>
      <c r="F61" s="1" t="s">
        <v>567</v>
      </c>
      <c r="G61" s="1" t="s">
        <v>507</v>
      </c>
      <c r="H61" s="1">
        <v>1</v>
      </c>
      <c r="I61" s="1">
        <v>3</v>
      </c>
      <c r="J61" s="1">
        <v>3</v>
      </c>
      <c r="K61" s="1">
        <v>4</v>
      </c>
      <c r="L61" s="1">
        <f t="shared" si="0"/>
        <v>4</v>
      </c>
      <c r="M61" s="1" t="str">
        <f t="shared" si="1"/>
        <v>Сильный признак</v>
      </c>
      <c r="N61" s="1" t="s">
        <v>945</v>
      </c>
    </row>
    <row r="62" spans="1:14" ht="25.5">
      <c r="A62" s="1" t="s">
        <v>62</v>
      </c>
      <c r="B62" s="1" t="s">
        <v>376</v>
      </c>
      <c r="C62" s="1" t="s">
        <v>456</v>
      </c>
      <c r="D62" s="1" t="s">
        <v>162</v>
      </c>
      <c r="E62" s="1" t="s">
        <v>510</v>
      </c>
      <c r="F62" s="1" t="s">
        <v>511</v>
      </c>
      <c r="G62" s="1" t="s">
        <v>507</v>
      </c>
      <c r="H62" s="1">
        <v>1</v>
      </c>
      <c r="I62" s="1">
        <v>2</v>
      </c>
      <c r="J62" s="1">
        <v>3</v>
      </c>
      <c r="K62" s="1">
        <v>4</v>
      </c>
      <c r="L62" s="1">
        <f t="shared" si="0"/>
        <v>3.33</v>
      </c>
      <c r="M62" s="1" t="str">
        <f t="shared" si="1"/>
        <v>Рабочий признак</v>
      </c>
      <c r="N62" s="1" t="s">
        <v>945</v>
      </c>
    </row>
    <row r="63" spans="1:14" ht="25.5">
      <c r="A63" s="1" t="s">
        <v>62</v>
      </c>
      <c r="B63" s="1" t="s">
        <v>376</v>
      </c>
      <c r="C63" s="1" t="s">
        <v>456</v>
      </c>
      <c r="D63" s="1" t="s">
        <v>171</v>
      </c>
      <c r="E63" s="1" t="s">
        <v>529</v>
      </c>
      <c r="F63" s="1" t="s">
        <v>530</v>
      </c>
      <c r="G63" s="1" t="s">
        <v>507</v>
      </c>
      <c r="H63" s="1">
        <v>1</v>
      </c>
      <c r="I63" s="1">
        <v>3</v>
      </c>
      <c r="J63" s="1">
        <v>3</v>
      </c>
      <c r="K63" s="1">
        <v>3</v>
      </c>
      <c r="L63" s="1">
        <f t="shared" si="0"/>
        <v>3</v>
      </c>
      <c r="M63" s="1" t="str">
        <f t="shared" si="1"/>
        <v>Рабочий признак</v>
      </c>
      <c r="N63" s="1" t="s">
        <v>945</v>
      </c>
    </row>
    <row r="64" spans="1:14" ht="25.5">
      <c r="A64" s="1" t="s">
        <v>62</v>
      </c>
      <c r="B64" s="1" t="s">
        <v>376</v>
      </c>
      <c r="C64" s="1" t="s">
        <v>456</v>
      </c>
      <c r="D64" s="1" t="s">
        <v>171</v>
      </c>
      <c r="E64" s="1" t="s">
        <v>546</v>
      </c>
      <c r="F64" s="1" t="s">
        <v>568</v>
      </c>
      <c r="G64" s="1" t="s">
        <v>507</v>
      </c>
      <c r="H64" s="1">
        <v>1</v>
      </c>
      <c r="I64" s="1">
        <v>2</v>
      </c>
      <c r="J64" s="1">
        <v>3</v>
      </c>
      <c r="K64" s="1">
        <v>3</v>
      </c>
      <c r="L64" s="1">
        <f t="shared" si="0"/>
        <v>2.5</v>
      </c>
      <c r="M64" s="1" t="str">
        <f t="shared" si="1"/>
        <v>Рабочий признак</v>
      </c>
      <c r="N64" s="1" t="s">
        <v>945</v>
      </c>
    </row>
    <row r="65" spans="1:14" ht="25.5">
      <c r="A65" s="1" t="s">
        <v>62</v>
      </c>
      <c r="B65" s="1" t="s">
        <v>376</v>
      </c>
      <c r="C65" s="1" t="s">
        <v>456</v>
      </c>
      <c r="D65" s="1" t="s">
        <v>171</v>
      </c>
      <c r="E65" s="1" t="s">
        <v>548</v>
      </c>
      <c r="F65" s="1" t="s">
        <v>549</v>
      </c>
      <c r="G65" s="1" t="s">
        <v>507</v>
      </c>
      <c r="H65" s="1">
        <v>1</v>
      </c>
      <c r="I65" s="1">
        <v>2</v>
      </c>
      <c r="J65" s="1">
        <v>3</v>
      </c>
      <c r="K65" s="1">
        <v>3</v>
      </c>
      <c r="L65" s="1">
        <f t="shared" si="0"/>
        <v>2.5</v>
      </c>
      <c r="M65" s="1" t="str">
        <f t="shared" si="1"/>
        <v>Рабочий признак</v>
      </c>
      <c r="N65" s="1" t="s">
        <v>945</v>
      </c>
    </row>
    <row r="66" spans="1:14" ht="25.5">
      <c r="A66" s="1" t="s">
        <v>62</v>
      </c>
      <c r="B66" s="1" t="s">
        <v>376</v>
      </c>
      <c r="C66" s="1" t="s">
        <v>457</v>
      </c>
      <c r="D66" s="1" t="s">
        <v>171</v>
      </c>
      <c r="E66" s="1" t="s">
        <v>550</v>
      </c>
      <c r="F66" s="1" t="s">
        <v>569</v>
      </c>
      <c r="G66" s="1" t="s">
        <v>507</v>
      </c>
      <c r="H66" s="1">
        <v>1</v>
      </c>
      <c r="I66" s="1">
        <v>3</v>
      </c>
      <c r="J66" s="1">
        <v>3</v>
      </c>
      <c r="K66" s="1">
        <v>2</v>
      </c>
      <c r="L66" s="1">
        <f t="shared" si="0"/>
        <v>2</v>
      </c>
      <c r="M66" s="1" t="str">
        <f t="shared" si="1"/>
        <v>Рабочий признак</v>
      </c>
      <c r="N66" s="1" t="s">
        <v>945</v>
      </c>
    </row>
    <row r="67" spans="1:14" ht="25.5">
      <c r="A67" s="1" t="s">
        <v>62</v>
      </c>
      <c r="B67" s="1" t="s">
        <v>376</v>
      </c>
      <c r="C67" s="1" t="s">
        <v>456</v>
      </c>
      <c r="D67" s="1" t="s">
        <v>162</v>
      </c>
      <c r="E67" s="1" t="s">
        <v>552</v>
      </c>
      <c r="F67" s="1" t="s">
        <v>553</v>
      </c>
      <c r="G67" s="1" t="s">
        <v>507</v>
      </c>
      <c r="H67" s="1">
        <v>1</v>
      </c>
      <c r="I67" s="1">
        <v>2</v>
      </c>
      <c r="J67" s="1">
        <v>3</v>
      </c>
      <c r="K67" s="1">
        <v>3</v>
      </c>
      <c r="L67" s="1">
        <f t="shared" si="0"/>
        <v>2.5</v>
      </c>
      <c r="M67" s="1" t="str">
        <f t="shared" si="1"/>
        <v>Рабочий признак</v>
      </c>
      <c r="N67" s="1" t="s">
        <v>945</v>
      </c>
    </row>
    <row r="68" spans="1:14" ht="25.5">
      <c r="A68" s="1" t="s">
        <v>62</v>
      </c>
      <c r="B68" s="1" t="s">
        <v>376</v>
      </c>
      <c r="C68" s="1" t="s">
        <v>456</v>
      </c>
      <c r="D68" s="1" t="s">
        <v>162</v>
      </c>
      <c r="E68" s="1" t="s">
        <v>554</v>
      </c>
      <c r="F68" s="1" t="s">
        <v>555</v>
      </c>
      <c r="G68" s="1" t="s">
        <v>507</v>
      </c>
      <c r="H68" s="1">
        <v>1</v>
      </c>
      <c r="I68" s="1">
        <v>3</v>
      </c>
      <c r="J68" s="1">
        <v>3</v>
      </c>
      <c r="K68" s="1">
        <v>4</v>
      </c>
      <c r="L68" s="1">
        <f t="shared" ref="L68:L131" si="2">IF(OR(H68="",I68="",J68="",K68=""),"",ROUND(H68*((I68+J68)/6)*K68,2))</f>
        <v>4</v>
      </c>
      <c r="M68" s="1" t="str">
        <f t="shared" ref="M68:M131" si="3">IF(L68="","",IF(AND(L68&gt;=3.5,H68=1),"Сильный признак",IF(AND(L68&gt;=2,H68=1),"Рабочий признак",IF(H68=1,"Слабый признак","Отсутствует"))))</f>
        <v>Сильный признак</v>
      </c>
      <c r="N68" s="1" t="s">
        <v>945</v>
      </c>
    </row>
    <row r="69" spans="1:14" ht="25.5">
      <c r="A69" s="1" t="s">
        <v>62</v>
      </c>
      <c r="B69" s="1" t="s">
        <v>376</v>
      </c>
      <c r="C69" s="1" t="s">
        <v>456</v>
      </c>
      <c r="D69" s="1" t="s">
        <v>162</v>
      </c>
      <c r="E69" s="1" t="s">
        <v>516</v>
      </c>
      <c r="F69" s="1" t="s">
        <v>517</v>
      </c>
      <c r="G69" s="1" t="s">
        <v>507</v>
      </c>
      <c r="H69" s="1">
        <v>1</v>
      </c>
      <c r="I69" s="1">
        <v>3</v>
      </c>
      <c r="J69" s="1">
        <v>3</v>
      </c>
      <c r="K69" s="1">
        <v>5</v>
      </c>
      <c r="L69" s="1">
        <f t="shared" si="2"/>
        <v>5</v>
      </c>
      <c r="M69" s="1" t="str">
        <f t="shared" si="3"/>
        <v>Сильный признак</v>
      </c>
      <c r="N69" s="1" t="s">
        <v>945</v>
      </c>
    </row>
    <row r="70" spans="1:14" ht="25.5">
      <c r="A70" s="1" t="s">
        <v>62</v>
      </c>
      <c r="B70" s="1" t="s">
        <v>376</v>
      </c>
      <c r="C70" s="1" t="s">
        <v>456</v>
      </c>
      <c r="D70" s="1" t="s">
        <v>171</v>
      </c>
      <c r="E70" s="1" t="s">
        <v>556</v>
      </c>
      <c r="F70" s="1" t="s">
        <v>557</v>
      </c>
      <c r="G70" s="1" t="s">
        <v>507</v>
      </c>
      <c r="H70" s="1">
        <v>1</v>
      </c>
      <c r="I70" s="1">
        <v>3</v>
      </c>
      <c r="J70" s="1">
        <v>3</v>
      </c>
      <c r="K70" s="1">
        <v>3</v>
      </c>
      <c r="L70" s="1">
        <f t="shared" si="2"/>
        <v>3</v>
      </c>
      <c r="M70" s="1" t="str">
        <f t="shared" si="3"/>
        <v>Рабочий признак</v>
      </c>
      <c r="N70" s="1" t="s">
        <v>945</v>
      </c>
    </row>
    <row r="71" spans="1:14" ht="25.5">
      <c r="A71" s="1" t="s">
        <v>62</v>
      </c>
      <c r="B71" s="1" t="s">
        <v>376</v>
      </c>
      <c r="C71" s="1" t="s">
        <v>456</v>
      </c>
      <c r="D71" s="1" t="s">
        <v>171</v>
      </c>
      <c r="E71" s="1" t="s">
        <v>570</v>
      </c>
      <c r="F71" s="1" t="s">
        <v>571</v>
      </c>
      <c r="G71" s="1" t="s">
        <v>507</v>
      </c>
      <c r="H71" s="1">
        <v>1</v>
      </c>
      <c r="I71" s="1">
        <v>3</v>
      </c>
      <c r="J71" s="1">
        <v>3</v>
      </c>
      <c r="K71" s="1">
        <v>4</v>
      </c>
      <c r="L71" s="1">
        <f t="shared" si="2"/>
        <v>4</v>
      </c>
      <c r="M71" s="1" t="str">
        <f t="shared" si="3"/>
        <v>Сильный признак</v>
      </c>
      <c r="N71" s="1" t="s">
        <v>945</v>
      </c>
    </row>
    <row r="72" spans="1:14" ht="25.5">
      <c r="A72" s="1" t="s">
        <v>62</v>
      </c>
      <c r="B72" s="1" t="s">
        <v>376</v>
      </c>
      <c r="C72" s="1" t="s">
        <v>456</v>
      </c>
      <c r="D72" s="1" t="s">
        <v>171</v>
      </c>
      <c r="E72" s="1" t="s">
        <v>892</v>
      </c>
      <c r="F72" s="1" t="s">
        <v>893</v>
      </c>
      <c r="G72" s="1" t="s">
        <v>507</v>
      </c>
      <c r="H72" s="1">
        <v>1</v>
      </c>
      <c r="I72" s="1">
        <v>2</v>
      </c>
      <c r="J72" s="1">
        <v>3</v>
      </c>
      <c r="K72" s="1">
        <v>3</v>
      </c>
      <c r="L72" s="1">
        <f t="shared" si="2"/>
        <v>2.5</v>
      </c>
      <c r="M72" s="1" t="str">
        <f t="shared" si="3"/>
        <v>Рабочий признак</v>
      </c>
      <c r="N72" s="1" t="s">
        <v>945</v>
      </c>
    </row>
    <row r="73" spans="1:14" ht="25.5">
      <c r="A73" s="1" t="s">
        <v>62</v>
      </c>
      <c r="B73" s="1" t="s">
        <v>376</v>
      </c>
      <c r="C73" s="1" t="s">
        <v>456</v>
      </c>
      <c r="D73" s="1" t="s">
        <v>171</v>
      </c>
      <c r="E73" s="1" t="s">
        <v>572</v>
      </c>
      <c r="F73" s="1" t="s">
        <v>573</v>
      </c>
      <c r="G73" s="1" t="s">
        <v>507</v>
      </c>
      <c r="H73" s="1">
        <v>1</v>
      </c>
      <c r="I73" s="1">
        <v>2</v>
      </c>
      <c r="J73" s="1">
        <v>3</v>
      </c>
      <c r="K73" s="1">
        <v>4</v>
      </c>
      <c r="L73" s="1">
        <f t="shared" si="2"/>
        <v>3.33</v>
      </c>
      <c r="M73" s="1" t="str">
        <f t="shared" si="3"/>
        <v>Рабочий признак</v>
      </c>
      <c r="N73" s="1" t="s">
        <v>945</v>
      </c>
    </row>
    <row r="74" spans="1:14" ht="25.5">
      <c r="A74" s="1" t="s">
        <v>62</v>
      </c>
      <c r="B74" s="1" t="s">
        <v>376</v>
      </c>
      <c r="C74" s="1" t="s">
        <v>456</v>
      </c>
      <c r="D74" s="1" t="s">
        <v>177</v>
      </c>
      <c r="E74" s="1" t="s">
        <v>558</v>
      </c>
      <c r="F74" s="1" t="s">
        <v>559</v>
      </c>
      <c r="G74" s="1" t="s">
        <v>507</v>
      </c>
      <c r="H74" s="1">
        <v>1</v>
      </c>
      <c r="I74" s="1">
        <v>2</v>
      </c>
      <c r="J74" s="1">
        <v>3</v>
      </c>
      <c r="K74" s="1">
        <v>3</v>
      </c>
      <c r="L74" s="1">
        <f t="shared" si="2"/>
        <v>2.5</v>
      </c>
      <c r="M74" s="1" t="str">
        <f t="shared" si="3"/>
        <v>Рабочий признак</v>
      </c>
      <c r="N74" s="1" t="s">
        <v>945</v>
      </c>
    </row>
    <row r="75" spans="1:14" ht="25.5">
      <c r="A75" s="1" t="s">
        <v>63</v>
      </c>
      <c r="B75" s="1" t="s">
        <v>384</v>
      </c>
      <c r="C75" s="1" t="s">
        <v>574</v>
      </c>
      <c r="D75" s="1" t="s">
        <v>151</v>
      </c>
      <c r="E75" s="1" t="s">
        <v>499</v>
      </c>
      <c r="F75" s="1" t="s">
        <v>575</v>
      </c>
      <c r="G75" s="1" t="s">
        <v>501</v>
      </c>
      <c r="H75" s="1">
        <v>1</v>
      </c>
      <c r="I75" s="1">
        <v>3</v>
      </c>
      <c r="J75" s="1">
        <v>3</v>
      </c>
      <c r="K75" s="1">
        <v>5</v>
      </c>
      <c r="L75" s="1">
        <f t="shared" si="2"/>
        <v>5</v>
      </c>
      <c r="M75" s="1" t="str">
        <f t="shared" si="3"/>
        <v>Сильный признак</v>
      </c>
      <c r="N75" s="1" t="s">
        <v>945</v>
      </c>
    </row>
    <row r="76" spans="1:14" ht="25.5">
      <c r="A76" s="1" t="s">
        <v>63</v>
      </c>
      <c r="B76" s="1" t="s">
        <v>384</v>
      </c>
      <c r="C76" s="1" t="s">
        <v>574</v>
      </c>
      <c r="D76" s="1" t="s">
        <v>158</v>
      </c>
      <c r="E76" s="1" t="s">
        <v>502</v>
      </c>
      <c r="F76" s="1" t="s">
        <v>576</v>
      </c>
      <c r="G76" s="1" t="s">
        <v>504</v>
      </c>
      <c r="H76" s="1">
        <v>1</v>
      </c>
      <c r="I76" s="1">
        <v>3</v>
      </c>
      <c r="J76" s="1">
        <v>3</v>
      </c>
      <c r="K76" s="1">
        <v>4</v>
      </c>
      <c r="L76" s="1">
        <f t="shared" si="2"/>
        <v>4</v>
      </c>
      <c r="M76" s="1" t="str">
        <f t="shared" si="3"/>
        <v>Сильный признак</v>
      </c>
      <c r="N76" s="1" t="s">
        <v>945</v>
      </c>
    </row>
    <row r="77" spans="1:14" ht="25.5">
      <c r="A77" s="1" t="s">
        <v>63</v>
      </c>
      <c r="B77" s="1" t="s">
        <v>384</v>
      </c>
      <c r="C77" s="1" t="s">
        <v>574</v>
      </c>
      <c r="D77" s="1" t="s">
        <v>162</v>
      </c>
      <c r="E77" s="1" t="s">
        <v>508</v>
      </c>
      <c r="F77" s="1" t="s">
        <v>577</v>
      </c>
      <c r="G77" s="1" t="s">
        <v>507</v>
      </c>
      <c r="H77" s="1">
        <v>1</v>
      </c>
      <c r="I77" s="1">
        <v>3</v>
      </c>
      <c r="J77" s="1">
        <v>2</v>
      </c>
      <c r="K77" s="1">
        <v>5</v>
      </c>
      <c r="L77" s="1">
        <f t="shared" si="2"/>
        <v>4.17</v>
      </c>
      <c r="M77" s="1" t="str">
        <f t="shared" si="3"/>
        <v>Сильный признак</v>
      </c>
      <c r="N77" s="1" t="s">
        <v>945</v>
      </c>
    </row>
    <row r="78" spans="1:14" ht="25.5">
      <c r="A78" s="1" t="s">
        <v>63</v>
      </c>
      <c r="B78" s="1" t="s">
        <v>384</v>
      </c>
      <c r="C78" s="1" t="s">
        <v>574</v>
      </c>
      <c r="D78" s="1" t="s">
        <v>162</v>
      </c>
      <c r="E78" s="1" t="s">
        <v>510</v>
      </c>
      <c r="F78" s="1" t="s">
        <v>511</v>
      </c>
      <c r="G78" s="1" t="s">
        <v>507</v>
      </c>
      <c r="H78" s="1">
        <v>1</v>
      </c>
      <c r="I78" s="1">
        <v>2</v>
      </c>
      <c r="J78" s="1">
        <v>2</v>
      </c>
      <c r="K78" s="1">
        <v>4</v>
      </c>
      <c r="L78" s="1">
        <f t="shared" si="2"/>
        <v>2.67</v>
      </c>
      <c r="M78" s="1" t="str">
        <f t="shared" si="3"/>
        <v>Рабочий признак</v>
      </c>
      <c r="N78" s="1" t="s">
        <v>945</v>
      </c>
    </row>
    <row r="79" spans="1:14" ht="25.5">
      <c r="A79" s="1" t="s">
        <v>63</v>
      </c>
      <c r="B79" s="1" t="s">
        <v>384</v>
      </c>
      <c r="C79" s="1" t="s">
        <v>574</v>
      </c>
      <c r="D79" s="1" t="s">
        <v>171</v>
      </c>
      <c r="E79" s="1" t="s">
        <v>512</v>
      </c>
      <c r="F79" s="1" t="s">
        <v>513</v>
      </c>
      <c r="G79" s="1" t="s">
        <v>507</v>
      </c>
      <c r="H79" s="1">
        <v>1</v>
      </c>
      <c r="I79" s="1">
        <v>2</v>
      </c>
      <c r="J79" s="1">
        <v>2</v>
      </c>
      <c r="K79" s="1">
        <v>4</v>
      </c>
      <c r="L79" s="1">
        <f t="shared" si="2"/>
        <v>2.67</v>
      </c>
      <c r="M79" s="1" t="str">
        <f t="shared" si="3"/>
        <v>Рабочий признак</v>
      </c>
      <c r="N79" s="1" t="s">
        <v>945</v>
      </c>
    </row>
    <row r="80" spans="1:14" ht="25.5">
      <c r="A80" s="1" t="s">
        <v>63</v>
      </c>
      <c r="B80" s="1" t="s">
        <v>384</v>
      </c>
      <c r="C80" s="1" t="s">
        <v>574</v>
      </c>
      <c r="D80" s="1" t="s">
        <v>171</v>
      </c>
      <c r="E80" s="1" t="s">
        <v>514</v>
      </c>
      <c r="F80" s="1" t="s">
        <v>515</v>
      </c>
      <c r="G80" s="1" t="s">
        <v>507</v>
      </c>
      <c r="H80" s="1">
        <v>1</v>
      </c>
      <c r="I80" s="1">
        <v>2</v>
      </c>
      <c r="J80" s="1">
        <v>2</v>
      </c>
      <c r="K80" s="1">
        <v>3</v>
      </c>
      <c r="L80" s="1">
        <f t="shared" si="2"/>
        <v>2</v>
      </c>
      <c r="M80" s="1" t="str">
        <f t="shared" si="3"/>
        <v>Рабочий признак</v>
      </c>
      <c r="N80" s="1" t="s">
        <v>945</v>
      </c>
    </row>
    <row r="81" spans="1:14" ht="25.5">
      <c r="A81" s="1" t="s">
        <v>63</v>
      </c>
      <c r="B81" s="1" t="s">
        <v>384</v>
      </c>
      <c r="C81" s="1" t="s">
        <v>574</v>
      </c>
      <c r="D81" s="1" t="s">
        <v>171</v>
      </c>
      <c r="E81" s="1" t="s">
        <v>546</v>
      </c>
      <c r="F81" s="1" t="s">
        <v>578</v>
      </c>
      <c r="G81" s="1" t="s">
        <v>507</v>
      </c>
      <c r="H81" s="1">
        <v>1</v>
      </c>
      <c r="I81" s="1">
        <v>2</v>
      </c>
      <c r="J81" s="1">
        <v>2</v>
      </c>
      <c r="K81" s="1">
        <v>3</v>
      </c>
      <c r="L81" s="1">
        <f t="shared" si="2"/>
        <v>2</v>
      </c>
      <c r="M81" s="1" t="str">
        <f t="shared" si="3"/>
        <v>Рабочий признак</v>
      </c>
      <c r="N81" s="1" t="s">
        <v>945</v>
      </c>
    </row>
    <row r="82" spans="1:14" ht="25.5">
      <c r="A82" s="1" t="s">
        <v>63</v>
      </c>
      <c r="B82" s="1" t="s">
        <v>384</v>
      </c>
      <c r="C82" s="1" t="s">
        <v>574</v>
      </c>
      <c r="D82" s="1" t="s">
        <v>171</v>
      </c>
      <c r="E82" s="1" t="s">
        <v>548</v>
      </c>
      <c r="F82" s="1" t="s">
        <v>549</v>
      </c>
      <c r="G82" s="1" t="s">
        <v>507</v>
      </c>
      <c r="H82" s="1">
        <v>1</v>
      </c>
      <c r="I82" s="1">
        <v>2</v>
      </c>
      <c r="J82" s="1">
        <v>2</v>
      </c>
      <c r="K82" s="1">
        <v>3</v>
      </c>
      <c r="L82" s="1">
        <f t="shared" si="2"/>
        <v>2</v>
      </c>
      <c r="M82" s="1" t="str">
        <f t="shared" si="3"/>
        <v>Рабочий признак</v>
      </c>
      <c r="N82" s="1" t="s">
        <v>945</v>
      </c>
    </row>
    <row r="83" spans="1:14" ht="25.5">
      <c r="A83" s="1" t="s">
        <v>63</v>
      </c>
      <c r="B83" s="1" t="s">
        <v>384</v>
      </c>
      <c r="C83" s="1" t="s">
        <v>574</v>
      </c>
      <c r="D83" s="1" t="s">
        <v>162</v>
      </c>
      <c r="E83" s="1" t="s">
        <v>552</v>
      </c>
      <c r="F83" s="1" t="s">
        <v>553</v>
      </c>
      <c r="G83" s="1" t="s">
        <v>507</v>
      </c>
      <c r="H83" s="1">
        <v>1</v>
      </c>
      <c r="I83" s="1">
        <v>2</v>
      </c>
      <c r="J83" s="1">
        <v>2</v>
      </c>
      <c r="K83" s="1">
        <v>3</v>
      </c>
      <c r="L83" s="1">
        <f t="shared" si="2"/>
        <v>2</v>
      </c>
      <c r="M83" s="1" t="str">
        <f t="shared" si="3"/>
        <v>Рабочий признак</v>
      </c>
      <c r="N83" s="1" t="s">
        <v>945</v>
      </c>
    </row>
    <row r="84" spans="1:14" ht="25.5">
      <c r="A84" s="1" t="s">
        <v>63</v>
      </c>
      <c r="B84" s="1" t="s">
        <v>384</v>
      </c>
      <c r="C84" s="1" t="s">
        <v>574</v>
      </c>
      <c r="D84" s="1" t="s">
        <v>162</v>
      </c>
      <c r="E84" s="1" t="s">
        <v>554</v>
      </c>
      <c r="F84" s="1" t="s">
        <v>555</v>
      </c>
      <c r="G84" s="1" t="s">
        <v>507</v>
      </c>
      <c r="H84" s="1">
        <v>1</v>
      </c>
      <c r="I84" s="1">
        <v>3</v>
      </c>
      <c r="J84" s="1">
        <v>2</v>
      </c>
      <c r="K84" s="1">
        <v>4</v>
      </c>
      <c r="L84" s="1">
        <f t="shared" si="2"/>
        <v>3.33</v>
      </c>
      <c r="M84" s="1" t="str">
        <f t="shared" si="3"/>
        <v>Рабочий признак</v>
      </c>
      <c r="N84" s="1" t="s">
        <v>945</v>
      </c>
    </row>
    <row r="85" spans="1:14" ht="25.5">
      <c r="A85" s="1" t="s">
        <v>63</v>
      </c>
      <c r="B85" s="1" t="s">
        <v>384</v>
      </c>
      <c r="C85" s="1" t="s">
        <v>574</v>
      </c>
      <c r="D85" s="1" t="s">
        <v>162</v>
      </c>
      <c r="E85" s="1" t="s">
        <v>516</v>
      </c>
      <c r="F85" s="1" t="s">
        <v>517</v>
      </c>
      <c r="G85" s="1" t="s">
        <v>507</v>
      </c>
      <c r="H85" s="1">
        <v>1</v>
      </c>
      <c r="I85" s="1">
        <v>3</v>
      </c>
      <c r="J85" s="1">
        <v>2</v>
      </c>
      <c r="K85" s="1">
        <v>5</v>
      </c>
      <c r="L85" s="1">
        <f t="shared" si="2"/>
        <v>4.17</v>
      </c>
      <c r="M85" s="1" t="str">
        <f t="shared" si="3"/>
        <v>Сильный признак</v>
      </c>
      <c r="N85" s="1" t="s">
        <v>945</v>
      </c>
    </row>
    <row r="86" spans="1:14" ht="25.5">
      <c r="A86" s="1" t="s">
        <v>63</v>
      </c>
      <c r="B86" s="1" t="s">
        <v>384</v>
      </c>
      <c r="C86" s="1" t="s">
        <v>574</v>
      </c>
      <c r="D86" s="1" t="s">
        <v>162</v>
      </c>
      <c r="E86" s="1" t="s">
        <v>518</v>
      </c>
      <c r="F86" s="1" t="s">
        <v>519</v>
      </c>
      <c r="G86" s="1" t="s">
        <v>507</v>
      </c>
      <c r="H86" s="1">
        <v>1</v>
      </c>
      <c r="I86" s="1">
        <v>3</v>
      </c>
      <c r="J86" s="1">
        <v>2</v>
      </c>
      <c r="K86" s="1">
        <v>4</v>
      </c>
      <c r="L86" s="1">
        <f t="shared" si="2"/>
        <v>3.33</v>
      </c>
      <c r="M86" s="1" t="str">
        <f t="shared" si="3"/>
        <v>Рабочий признак</v>
      </c>
      <c r="N86" s="1" t="s">
        <v>945</v>
      </c>
    </row>
    <row r="87" spans="1:14" ht="25.5">
      <c r="A87" s="1" t="s">
        <v>63</v>
      </c>
      <c r="B87" s="1" t="s">
        <v>384</v>
      </c>
      <c r="C87" s="1" t="s">
        <v>574</v>
      </c>
      <c r="D87" s="1" t="s">
        <v>162</v>
      </c>
      <c r="E87" s="1" t="s">
        <v>520</v>
      </c>
      <c r="F87" s="1" t="s">
        <v>521</v>
      </c>
      <c r="G87" s="1" t="s">
        <v>507</v>
      </c>
      <c r="H87" s="1">
        <v>1</v>
      </c>
      <c r="I87" s="1">
        <v>3</v>
      </c>
      <c r="J87" s="1">
        <v>2</v>
      </c>
      <c r="K87" s="1">
        <v>5</v>
      </c>
      <c r="L87" s="1">
        <f t="shared" si="2"/>
        <v>4.17</v>
      </c>
      <c r="M87" s="1" t="str">
        <f t="shared" si="3"/>
        <v>Сильный признак</v>
      </c>
      <c r="N87" s="1" t="s">
        <v>945</v>
      </c>
    </row>
    <row r="88" spans="1:14" ht="25.5">
      <c r="A88" s="1" t="s">
        <v>63</v>
      </c>
      <c r="B88" s="1" t="s">
        <v>384</v>
      </c>
      <c r="C88" s="1" t="s">
        <v>574</v>
      </c>
      <c r="D88" s="1" t="s">
        <v>171</v>
      </c>
      <c r="E88" s="1" t="s">
        <v>522</v>
      </c>
      <c r="F88" s="1" t="s">
        <v>523</v>
      </c>
      <c r="G88" s="1" t="s">
        <v>507</v>
      </c>
      <c r="H88" s="1">
        <v>1</v>
      </c>
      <c r="I88" s="1">
        <v>3</v>
      </c>
      <c r="J88" s="1">
        <v>2</v>
      </c>
      <c r="K88" s="1">
        <v>4</v>
      </c>
      <c r="L88" s="1">
        <f t="shared" si="2"/>
        <v>3.33</v>
      </c>
      <c r="M88" s="1" t="str">
        <f t="shared" si="3"/>
        <v>Рабочий признак</v>
      </c>
      <c r="N88" s="1" t="s">
        <v>945</v>
      </c>
    </row>
    <row r="89" spans="1:14" ht="25.5">
      <c r="A89" s="1" t="s">
        <v>63</v>
      </c>
      <c r="B89" s="1" t="s">
        <v>384</v>
      </c>
      <c r="C89" s="1" t="s">
        <v>574</v>
      </c>
      <c r="D89" s="1" t="s">
        <v>171</v>
      </c>
      <c r="E89" s="1" t="s">
        <v>524</v>
      </c>
      <c r="F89" s="1" t="s">
        <v>525</v>
      </c>
      <c r="G89" s="1" t="s">
        <v>507</v>
      </c>
      <c r="H89" s="1">
        <v>1</v>
      </c>
      <c r="I89" s="1">
        <v>2</v>
      </c>
      <c r="J89" s="1">
        <v>2</v>
      </c>
      <c r="K89" s="1">
        <v>2</v>
      </c>
      <c r="L89" s="1">
        <f t="shared" si="2"/>
        <v>1.33</v>
      </c>
      <c r="M89" s="1" t="str">
        <f t="shared" si="3"/>
        <v>Слабый признак</v>
      </c>
      <c r="N89" s="1" t="s">
        <v>945</v>
      </c>
    </row>
    <row r="90" spans="1:14" ht="25.5">
      <c r="A90" s="1" t="s">
        <v>64</v>
      </c>
      <c r="B90" s="1" t="s">
        <v>391</v>
      </c>
      <c r="C90" s="1" t="s">
        <v>579</v>
      </c>
      <c r="D90" s="1" t="s">
        <v>151</v>
      </c>
      <c r="E90" s="1" t="s">
        <v>499</v>
      </c>
      <c r="F90" s="1" t="s">
        <v>580</v>
      </c>
      <c r="G90" s="1" t="s">
        <v>501</v>
      </c>
      <c r="H90" s="1">
        <v>1</v>
      </c>
      <c r="I90" s="1">
        <v>3</v>
      </c>
      <c r="J90" s="1">
        <v>3</v>
      </c>
      <c r="K90" s="1">
        <v>5</v>
      </c>
      <c r="L90" s="1">
        <f t="shared" si="2"/>
        <v>5</v>
      </c>
      <c r="M90" s="1" t="str">
        <f t="shared" si="3"/>
        <v>Сильный признак</v>
      </c>
      <c r="N90" s="1" t="s">
        <v>945</v>
      </c>
    </row>
    <row r="91" spans="1:14" ht="25.5">
      <c r="A91" s="1" t="s">
        <v>64</v>
      </c>
      <c r="B91" s="1" t="s">
        <v>391</v>
      </c>
      <c r="C91" s="1" t="s">
        <v>579</v>
      </c>
      <c r="D91" s="1" t="s">
        <v>158</v>
      </c>
      <c r="E91" s="1" t="s">
        <v>502</v>
      </c>
      <c r="F91" s="1" t="s">
        <v>581</v>
      </c>
      <c r="G91" s="1" t="s">
        <v>504</v>
      </c>
      <c r="H91" s="1">
        <v>1</v>
      </c>
      <c r="I91" s="1">
        <v>3</v>
      </c>
      <c r="J91" s="1">
        <v>3</v>
      </c>
      <c r="K91" s="1">
        <v>4</v>
      </c>
      <c r="L91" s="1">
        <f t="shared" si="2"/>
        <v>4</v>
      </c>
      <c r="M91" s="1" t="str">
        <f t="shared" si="3"/>
        <v>Сильный признак</v>
      </c>
      <c r="N91" s="1" t="s">
        <v>945</v>
      </c>
    </row>
    <row r="92" spans="1:14" ht="25.5">
      <c r="A92" s="1" t="s">
        <v>64</v>
      </c>
      <c r="B92" s="1" t="s">
        <v>391</v>
      </c>
      <c r="C92" s="1" t="s">
        <v>579</v>
      </c>
      <c r="D92" s="1" t="s">
        <v>158</v>
      </c>
      <c r="E92" s="1" t="s">
        <v>505</v>
      </c>
      <c r="F92" s="1" t="s">
        <v>506</v>
      </c>
      <c r="G92" s="1" t="s">
        <v>507</v>
      </c>
      <c r="H92" s="1">
        <v>1</v>
      </c>
      <c r="I92" s="1">
        <v>3</v>
      </c>
      <c r="J92" s="1">
        <v>3</v>
      </c>
      <c r="K92" s="1">
        <v>5</v>
      </c>
      <c r="L92" s="1">
        <f t="shared" si="2"/>
        <v>5</v>
      </c>
      <c r="M92" s="1" t="str">
        <f t="shared" si="3"/>
        <v>Сильный признак</v>
      </c>
      <c r="N92" s="1" t="s">
        <v>945</v>
      </c>
    </row>
    <row r="93" spans="1:14" ht="25.5">
      <c r="A93" s="1" t="s">
        <v>64</v>
      </c>
      <c r="B93" s="1" t="s">
        <v>391</v>
      </c>
      <c r="C93" s="1" t="s">
        <v>471</v>
      </c>
      <c r="D93" s="1" t="s">
        <v>162</v>
      </c>
      <c r="E93" s="1" t="s">
        <v>508</v>
      </c>
      <c r="F93" s="1" t="s">
        <v>788</v>
      </c>
      <c r="G93" s="1" t="s">
        <v>507</v>
      </c>
      <c r="H93" s="1">
        <v>1</v>
      </c>
      <c r="I93" s="1">
        <v>3</v>
      </c>
      <c r="J93" s="1">
        <v>3</v>
      </c>
      <c r="K93" s="1">
        <v>5</v>
      </c>
      <c r="L93" s="1">
        <f t="shared" si="2"/>
        <v>5</v>
      </c>
      <c r="M93" s="1" t="str">
        <f t="shared" si="3"/>
        <v>Сильный признак</v>
      </c>
      <c r="N93" s="1" t="s">
        <v>945</v>
      </c>
    </row>
    <row r="94" spans="1:14" ht="25.5">
      <c r="A94" s="1" t="s">
        <v>64</v>
      </c>
      <c r="B94" s="1" t="s">
        <v>391</v>
      </c>
      <c r="C94" s="1" t="s">
        <v>471</v>
      </c>
      <c r="D94" s="1" t="s">
        <v>162</v>
      </c>
      <c r="E94" s="1" t="s">
        <v>535</v>
      </c>
      <c r="F94" s="1" t="s">
        <v>789</v>
      </c>
      <c r="G94" s="1" t="s">
        <v>507</v>
      </c>
      <c r="H94" s="1">
        <v>1</v>
      </c>
      <c r="I94" s="1">
        <v>3</v>
      </c>
      <c r="J94" s="1">
        <v>3</v>
      </c>
      <c r="K94" s="1">
        <v>4</v>
      </c>
      <c r="L94" s="1">
        <f t="shared" si="2"/>
        <v>4</v>
      </c>
      <c r="M94" s="1" t="str">
        <f t="shared" si="3"/>
        <v>Сильный признак</v>
      </c>
      <c r="N94" s="1" t="s">
        <v>945</v>
      </c>
    </row>
    <row r="95" spans="1:14" ht="25.5">
      <c r="A95" s="1" t="s">
        <v>64</v>
      </c>
      <c r="B95" s="1" t="s">
        <v>391</v>
      </c>
      <c r="C95" s="1" t="s">
        <v>471</v>
      </c>
      <c r="D95" s="1" t="s">
        <v>162</v>
      </c>
      <c r="E95" s="1" t="s">
        <v>536</v>
      </c>
      <c r="F95" s="1" t="s">
        <v>537</v>
      </c>
      <c r="G95" s="1" t="s">
        <v>507</v>
      </c>
      <c r="H95" s="1">
        <v>1</v>
      </c>
      <c r="I95" s="1">
        <v>3</v>
      </c>
      <c r="J95" s="1">
        <v>3</v>
      </c>
      <c r="K95" s="1">
        <v>5</v>
      </c>
      <c r="L95" s="1">
        <f t="shared" si="2"/>
        <v>5</v>
      </c>
      <c r="M95" s="1" t="str">
        <f t="shared" si="3"/>
        <v>Сильный признак</v>
      </c>
      <c r="N95" s="1" t="s">
        <v>945</v>
      </c>
    </row>
    <row r="96" spans="1:14" ht="25.5">
      <c r="A96" s="1" t="s">
        <v>64</v>
      </c>
      <c r="B96" s="1" t="s">
        <v>391</v>
      </c>
      <c r="C96" s="1" t="s">
        <v>471</v>
      </c>
      <c r="D96" s="1" t="s">
        <v>171</v>
      </c>
      <c r="E96" s="1" t="s">
        <v>538</v>
      </c>
      <c r="F96" s="1" t="s">
        <v>539</v>
      </c>
      <c r="G96" s="1" t="s">
        <v>507</v>
      </c>
      <c r="H96" s="1">
        <v>1</v>
      </c>
      <c r="I96" s="1">
        <v>3</v>
      </c>
      <c r="J96" s="1">
        <v>3</v>
      </c>
      <c r="K96" s="1">
        <v>2</v>
      </c>
      <c r="L96" s="1">
        <f t="shared" si="2"/>
        <v>2</v>
      </c>
      <c r="M96" s="1" t="str">
        <f t="shared" si="3"/>
        <v>Рабочий признак</v>
      </c>
      <c r="N96" s="1" t="s">
        <v>945</v>
      </c>
    </row>
    <row r="97" spans="1:14" ht="25.5">
      <c r="A97" s="1" t="s">
        <v>64</v>
      </c>
      <c r="B97" s="1" t="s">
        <v>391</v>
      </c>
      <c r="C97" s="1" t="s">
        <v>471</v>
      </c>
      <c r="D97" s="1" t="s">
        <v>162</v>
      </c>
      <c r="E97" s="1" t="s">
        <v>540</v>
      </c>
      <c r="F97" s="1" t="s">
        <v>541</v>
      </c>
      <c r="G97" s="1" t="s">
        <v>507</v>
      </c>
      <c r="H97" s="1">
        <v>1</v>
      </c>
      <c r="I97" s="1">
        <v>3</v>
      </c>
      <c r="J97" s="1">
        <v>3</v>
      </c>
      <c r="K97" s="1">
        <v>3</v>
      </c>
      <c r="L97" s="1">
        <f t="shared" si="2"/>
        <v>3</v>
      </c>
      <c r="M97" s="1" t="str">
        <f t="shared" si="3"/>
        <v>Рабочий признак</v>
      </c>
      <c r="N97" s="1" t="s">
        <v>945</v>
      </c>
    </row>
    <row r="98" spans="1:14" ht="25.5">
      <c r="A98" s="1" t="s">
        <v>64</v>
      </c>
      <c r="B98" s="1" t="s">
        <v>391</v>
      </c>
      <c r="C98" s="1" t="s">
        <v>471</v>
      </c>
      <c r="D98" s="1" t="s">
        <v>162</v>
      </c>
      <c r="E98" s="1" t="s">
        <v>582</v>
      </c>
      <c r="F98" s="1" t="s">
        <v>583</v>
      </c>
      <c r="G98" s="1" t="s">
        <v>507</v>
      </c>
      <c r="H98" s="1">
        <v>1</v>
      </c>
      <c r="I98" s="1">
        <v>3</v>
      </c>
      <c r="J98" s="1">
        <v>3</v>
      </c>
      <c r="K98" s="1">
        <v>2</v>
      </c>
      <c r="L98" s="1">
        <f t="shared" si="2"/>
        <v>2</v>
      </c>
      <c r="M98" s="1" t="str">
        <f t="shared" si="3"/>
        <v>Рабочий признак</v>
      </c>
      <c r="N98" s="1" t="s">
        <v>945</v>
      </c>
    </row>
    <row r="99" spans="1:14" ht="25.5">
      <c r="A99" s="1" t="s">
        <v>64</v>
      </c>
      <c r="B99" s="1" t="s">
        <v>391</v>
      </c>
      <c r="C99" s="1" t="s">
        <v>579</v>
      </c>
      <c r="D99" s="1" t="s">
        <v>171</v>
      </c>
      <c r="E99" s="1" t="s">
        <v>544</v>
      </c>
      <c r="F99" s="1" t="s">
        <v>584</v>
      </c>
      <c r="G99" s="1" t="s">
        <v>507</v>
      </c>
      <c r="H99" s="1">
        <v>1</v>
      </c>
      <c r="I99" s="1">
        <v>3</v>
      </c>
      <c r="J99" s="1">
        <v>3</v>
      </c>
      <c r="K99" s="1">
        <v>4</v>
      </c>
      <c r="L99" s="1">
        <f t="shared" si="2"/>
        <v>4</v>
      </c>
      <c r="M99" s="1" t="str">
        <f t="shared" si="3"/>
        <v>Сильный признак</v>
      </c>
      <c r="N99" s="1" t="s">
        <v>945</v>
      </c>
    </row>
    <row r="100" spans="1:14" ht="25.5">
      <c r="A100" s="1" t="s">
        <v>64</v>
      </c>
      <c r="B100" s="1" t="s">
        <v>391</v>
      </c>
      <c r="C100" s="1" t="s">
        <v>579</v>
      </c>
      <c r="D100" s="1" t="s">
        <v>162</v>
      </c>
      <c r="E100" s="1" t="s">
        <v>510</v>
      </c>
      <c r="F100" s="1" t="s">
        <v>511</v>
      </c>
      <c r="G100" s="1" t="s">
        <v>507</v>
      </c>
      <c r="H100" s="1">
        <v>1</v>
      </c>
      <c r="I100" s="1">
        <v>2</v>
      </c>
      <c r="J100" s="1">
        <v>3</v>
      </c>
      <c r="K100" s="1">
        <v>4</v>
      </c>
      <c r="L100" s="1">
        <f t="shared" si="2"/>
        <v>3.33</v>
      </c>
      <c r="M100" s="1" t="str">
        <f t="shared" si="3"/>
        <v>Рабочий признак</v>
      </c>
      <c r="N100" s="1" t="s">
        <v>945</v>
      </c>
    </row>
    <row r="101" spans="1:14" ht="25.5">
      <c r="A101" s="1" t="s">
        <v>64</v>
      </c>
      <c r="B101" s="1" t="s">
        <v>391</v>
      </c>
      <c r="C101" s="1" t="s">
        <v>579</v>
      </c>
      <c r="D101" s="1" t="s">
        <v>171</v>
      </c>
      <c r="E101" s="1" t="s">
        <v>529</v>
      </c>
      <c r="F101" s="1" t="s">
        <v>530</v>
      </c>
      <c r="G101" s="1" t="s">
        <v>507</v>
      </c>
      <c r="H101" s="1">
        <v>1</v>
      </c>
      <c r="I101" s="1">
        <v>3</v>
      </c>
      <c r="J101" s="1">
        <v>3</v>
      </c>
      <c r="K101" s="1">
        <v>3</v>
      </c>
      <c r="L101" s="1">
        <f t="shared" si="2"/>
        <v>3</v>
      </c>
      <c r="M101" s="1" t="str">
        <f t="shared" si="3"/>
        <v>Рабочий признак</v>
      </c>
      <c r="N101" s="1" t="s">
        <v>945</v>
      </c>
    </row>
    <row r="102" spans="1:14" ht="25.5">
      <c r="A102" s="1" t="s">
        <v>64</v>
      </c>
      <c r="B102" s="1" t="s">
        <v>391</v>
      </c>
      <c r="C102" s="1" t="s">
        <v>579</v>
      </c>
      <c r="D102" s="1" t="s">
        <v>171</v>
      </c>
      <c r="E102" s="1" t="s">
        <v>514</v>
      </c>
      <c r="F102" s="1" t="s">
        <v>515</v>
      </c>
      <c r="G102" s="1" t="s">
        <v>507</v>
      </c>
      <c r="H102" s="1">
        <v>1</v>
      </c>
      <c r="I102" s="1">
        <v>2</v>
      </c>
      <c r="J102" s="1">
        <v>3</v>
      </c>
      <c r="K102" s="1">
        <v>3</v>
      </c>
      <c r="L102" s="1">
        <f t="shared" si="2"/>
        <v>2.5</v>
      </c>
      <c r="M102" s="1" t="str">
        <f t="shared" si="3"/>
        <v>Рабочий признак</v>
      </c>
      <c r="N102" s="1" t="s">
        <v>945</v>
      </c>
    </row>
    <row r="103" spans="1:14" ht="25.5">
      <c r="A103" s="1" t="s">
        <v>64</v>
      </c>
      <c r="B103" s="1" t="s">
        <v>391</v>
      </c>
      <c r="C103" s="1" t="s">
        <v>579</v>
      </c>
      <c r="D103" s="1" t="s">
        <v>171</v>
      </c>
      <c r="E103" s="1" t="s">
        <v>546</v>
      </c>
      <c r="F103" s="1" t="s">
        <v>585</v>
      </c>
      <c r="G103" s="1" t="s">
        <v>507</v>
      </c>
      <c r="H103" s="1">
        <v>1</v>
      </c>
      <c r="I103" s="1">
        <v>2</v>
      </c>
      <c r="J103" s="1">
        <v>3</v>
      </c>
      <c r="K103" s="1">
        <v>3</v>
      </c>
      <c r="L103" s="1">
        <f t="shared" si="2"/>
        <v>2.5</v>
      </c>
      <c r="M103" s="1" t="str">
        <f t="shared" si="3"/>
        <v>Рабочий признак</v>
      </c>
      <c r="N103" s="1" t="s">
        <v>945</v>
      </c>
    </row>
    <row r="104" spans="1:14" ht="25.5">
      <c r="A104" s="1" t="s">
        <v>64</v>
      </c>
      <c r="B104" s="1" t="s">
        <v>391</v>
      </c>
      <c r="C104" s="1" t="s">
        <v>579</v>
      </c>
      <c r="D104" s="1" t="s">
        <v>171</v>
      </c>
      <c r="E104" s="1" t="s">
        <v>548</v>
      </c>
      <c r="F104" s="1" t="s">
        <v>549</v>
      </c>
      <c r="G104" s="1" t="s">
        <v>507</v>
      </c>
      <c r="H104" s="1">
        <v>1</v>
      </c>
      <c r="I104" s="1">
        <v>2</v>
      </c>
      <c r="J104" s="1">
        <v>3</v>
      </c>
      <c r="K104" s="1">
        <v>3</v>
      </c>
      <c r="L104" s="1">
        <f t="shared" si="2"/>
        <v>2.5</v>
      </c>
      <c r="M104" s="1" t="str">
        <f t="shared" si="3"/>
        <v>Рабочий признак</v>
      </c>
      <c r="N104" s="1" t="s">
        <v>945</v>
      </c>
    </row>
    <row r="105" spans="1:14" ht="25.5">
      <c r="A105" s="1" t="s">
        <v>64</v>
      </c>
      <c r="B105" s="1" t="s">
        <v>391</v>
      </c>
      <c r="C105" s="1" t="s">
        <v>471</v>
      </c>
      <c r="D105" s="1" t="s">
        <v>171</v>
      </c>
      <c r="E105" s="1" t="s">
        <v>550</v>
      </c>
      <c r="F105" s="1" t="s">
        <v>586</v>
      </c>
      <c r="G105" s="1" t="s">
        <v>507</v>
      </c>
      <c r="H105" s="1">
        <v>1</v>
      </c>
      <c r="I105" s="1">
        <v>3</v>
      </c>
      <c r="J105" s="1">
        <v>3</v>
      </c>
      <c r="K105" s="1">
        <v>2</v>
      </c>
      <c r="L105" s="1">
        <f t="shared" si="2"/>
        <v>2</v>
      </c>
      <c r="M105" s="1" t="str">
        <f t="shared" si="3"/>
        <v>Рабочий признак</v>
      </c>
      <c r="N105" s="1" t="s">
        <v>945</v>
      </c>
    </row>
    <row r="106" spans="1:14" ht="25.5">
      <c r="A106" s="1" t="s">
        <v>64</v>
      </c>
      <c r="B106" s="1" t="s">
        <v>391</v>
      </c>
      <c r="C106" s="1" t="s">
        <v>579</v>
      </c>
      <c r="D106" s="1" t="s">
        <v>162</v>
      </c>
      <c r="E106" s="1" t="s">
        <v>552</v>
      </c>
      <c r="F106" s="1" t="s">
        <v>553</v>
      </c>
      <c r="G106" s="1" t="s">
        <v>507</v>
      </c>
      <c r="H106" s="1">
        <v>1</v>
      </c>
      <c r="I106" s="1">
        <v>2</v>
      </c>
      <c r="J106" s="1">
        <v>3</v>
      </c>
      <c r="K106" s="1">
        <v>3</v>
      </c>
      <c r="L106" s="1">
        <f t="shared" si="2"/>
        <v>2.5</v>
      </c>
      <c r="M106" s="1" t="str">
        <f t="shared" si="3"/>
        <v>Рабочий признак</v>
      </c>
      <c r="N106" s="1" t="s">
        <v>945</v>
      </c>
    </row>
    <row r="107" spans="1:14" ht="25.5">
      <c r="A107" s="1" t="s">
        <v>64</v>
      </c>
      <c r="B107" s="1" t="s">
        <v>391</v>
      </c>
      <c r="C107" s="1" t="s">
        <v>579</v>
      </c>
      <c r="D107" s="1" t="s">
        <v>162</v>
      </c>
      <c r="E107" s="1" t="s">
        <v>587</v>
      </c>
      <c r="F107" s="1" t="s">
        <v>588</v>
      </c>
      <c r="G107" s="1" t="s">
        <v>507</v>
      </c>
      <c r="H107" s="1">
        <v>1</v>
      </c>
      <c r="I107" s="1">
        <v>3</v>
      </c>
      <c r="J107" s="1">
        <v>3</v>
      </c>
      <c r="K107" s="1">
        <v>4</v>
      </c>
      <c r="L107" s="1">
        <f t="shared" si="2"/>
        <v>4</v>
      </c>
      <c r="M107" s="1" t="str">
        <f t="shared" si="3"/>
        <v>Сильный признак</v>
      </c>
      <c r="N107" s="1" t="s">
        <v>945</v>
      </c>
    </row>
    <row r="108" spans="1:14" ht="25.5">
      <c r="A108" s="1" t="s">
        <v>64</v>
      </c>
      <c r="B108" s="1" t="s">
        <v>391</v>
      </c>
      <c r="C108" s="1" t="s">
        <v>579</v>
      </c>
      <c r="D108" s="1" t="s">
        <v>162</v>
      </c>
      <c r="E108" s="1" t="s">
        <v>554</v>
      </c>
      <c r="F108" s="1" t="s">
        <v>555</v>
      </c>
      <c r="G108" s="1" t="s">
        <v>507</v>
      </c>
      <c r="H108" s="1">
        <v>1</v>
      </c>
      <c r="I108" s="1">
        <v>3</v>
      </c>
      <c r="J108" s="1">
        <v>3</v>
      </c>
      <c r="K108" s="1">
        <v>4</v>
      </c>
      <c r="L108" s="1">
        <f t="shared" si="2"/>
        <v>4</v>
      </c>
      <c r="M108" s="1" t="str">
        <f t="shared" si="3"/>
        <v>Сильный признак</v>
      </c>
      <c r="N108" s="1" t="s">
        <v>945</v>
      </c>
    </row>
    <row r="109" spans="1:14" ht="25.5">
      <c r="A109" s="1" t="s">
        <v>64</v>
      </c>
      <c r="B109" s="1" t="s">
        <v>391</v>
      </c>
      <c r="C109" s="1" t="s">
        <v>579</v>
      </c>
      <c r="D109" s="1" t="s">
        <v>162</v>
      </c>
      <c r="E109" s="1" t="s">
        <v>516</v>
      </c>
      <c r="F109" s="1" t="s">
        <v>517</v>
      </c>
      <c r="G109" s="1" t="s">
        <v>507</v>
      </c>
      <c r="H109" s="1">
        <v>1</v>
      </c>
      <c r="I109" s="1">
        <v>3</v>
      </c>
      <c r="J109" s="1">
        <v>3</v>
      </c>
      <c r="K109" s="1">
        <v>5</v>
      </c>
      <c r="L109" s="1">
        <f t="shared" si="2"/>
        <v>5</v>
      </c>
      <c r="M109" s="1" t="str">
        <f t="shared" si="3"/>
        <v>Сильный признак</v>
      </c>
      <c r="N109" s="1" t="s">
        <v>945</v>
      </c>
    </row>
    <row r="110" spans="1:14" ht="25.5">
      <c r="A110" s="1" t="s">
        <v>64</v>
      </c>
      <c r="B110" s="1" t="s">
        <v>391</v>
      </c>
      <c r="C110" s="1" t="s">
        <v>579</v>
      </c>
      <c r="D110" s="1" t="s">
        <v>171</v>
      </c>
      <c r="E110" s="1" t="s">
        <v>556</v>
      </c>
      <c r="F110" s="1" t="s">
        <v>557</v>
      </c>
      <c r="G110" s="1" t="s">
        <v>507</v>
      </c>
      <c r="H110" s="1">
        <v>1</v>
      </c>
      <c r="I110" s="1">
        <v>3</v>
      </c>
      <c r="J110" s="1">
        <v>3</v>
      </c>
      <c r="K110" s="1">
        <v>3</v>
      </c>
      <c r="L110" s="1">
        <f t="shared" si="2"/>
        <v>3</v>
      </c>
      <c r="M110" s="1" t="str">
        <f t="shared" si="3"/>
        <v>Рабочий признак</v>
      </c>
      <c r="N110" s="1" t="s">
        <v>945</v>
      </c>
    </row>
    <row r="111" spans="1:14" ht="25.5">
      <c r="A111" s="1" t="s">
        <v>64</v>
      </c>
      <c r="B111" s="1" t="s">
        <v>391</v>
      </c>
      <c r="C111" s="1" t="s">
        <v>579</v>
      </c>
      <c r="D111" s="1" t="s">
        <v>162</v>
      </c>
      <c r="E111" s="1" t="s">
        <v>518</v>
      </c>
      <c r="F111" s="1" t="s">
        <v>519</v>
      </c>
      <c r="G111" s="1" t="s">
        <v>507</v>
      </c>
      <c r="H111" s="1">
        <v>1</v>
      </c>
      <c r="I111" s="1">
        <v>3</v>
      </c>
      <c r="J111" s="1">
        <v>3</v>
      </c>
      <c r="K111" s="1">
        <v>4</v>
      </c>
      <c r="L111" s="1">
        <f t="shared" si="2"/>
        <v>4</v>
      </c>
      <c r="M111" s="1" t="str">
        <f t="shared" si="3"/>
        <v>Сильный признак</v>
      </c>
      <c r="N111" s="1" t="s">
        <v>945</v>
      </c>
    </row>
    <row r="112" spans="1:14" ht="25.5">
      <c r="A112" s="1" t="s">
        <v>64</v>
      </c>
      <c r="B112" s="1" t="s">
        <v>391</v>
      </c>
      <c r="C112" s="1" t="s">
        <v>579</v>
      </c>
      <c r="D112" s="1" t="s">
        <v>162</v>
      </c>
      <c r="E112" s="1" t="s">
        <v>520</v>
      </c>
      <c r="F112" s="1" t="s">
        <v>521</v>
      </c>
      <c r="G112" s="1" t="s">
        <v>507</v>
      </c>
      <c r="H112" s="1">
        <v>1</v>
      </c>
      <c r="I112" s="1">
        <v>3</v>
      </c>
      <c r="J112" s="1">
        <v>3</v>
      </c>
      <c r="K112" s="1">
        <v>5</v>
      </c>
      <c r="L112" s="1">
        <f t="shared" si="2"/>
        <v>5</v>
      </c>
      <c r="M112" s="1" t="str">
        <f t="shared" si="3"/>
        <v>Сильный признак</v>
      </c>
      <c r="N112" s="1" t="s">
        <v>945</v>
      </c>
    </row>
    <row r="113" spans="1:14" ht="25.5">
      <c r="A113" s="1" t="s">
        <v>64</v>
      </c>
      <c r="B113" s="1" t="s">
        <v>391</v>
      </c>
      <c r="C113" s="1" t="s">
        <v>579</v>
      </c>
      <c r="D113" s="1" t="s">
        <v>171</v>
      </c>
      <c r="E113" s="1" t="s">
        <v>570</v>
      </c>
      <c r="F113" s="1" t="s">
        <v>571</v>
      </c>
      <c r="G113" s="1" t="s">
        <v>507</v>
      </c>
      <c r="H113" s="1">
        <v>1</v>
      </c>
      <c r="I113" s="1">
        <v>3</v>
      </c>
      <c r="J113" s="1">
        <v>3</v>
      </c>
      <c r="K113" s="1">
        <v>4</v>
      </c>
      <c r="L113" s="1">
        <f t="shared" si="2"/>
        <v>4</v>
      </c>
      <c r="M113" s="1" t="str">
        <f t="shared" si="3"/>
        <v>Сильный признак</v>
      </c>
      <c r="N113" s="1" t="s">
        <v>945</v>
      </c>
    </row>
    <row r="114" spans="1:14" ht="25.5">
      <c r="A114" s="1" t="s">
        <v>64</v>
      </c>
      <c r="B114" s="1" t="s">
        <v>391</v>
      </c>
      <c r="C114" s="1" t="s">
        <v>579</v>
      </c>
      <c r="D114" s="1" t="s">
        <v>171</v>
      </c>
      <c r="E114" s="1" t="s">
        <v>522</v>
      </c>
      <c r="F114" s="1" t="s">
        <v>523</v>
      </c>
      <c r="G114" s="1" t="s">
        <v>507</v>
      </c>
      <c r="H114" s="1">
        <v>1</v>
      </c>
      <c r="I114" s="1">
        <v>3</v>
      </c>
      <c r="J114" s="1">
        <v>3</v>
      </c>
      <c r="K114" s="1">
        <v>4</v>
      </c>
      <c r="L114" s="1">
        <f t="shared" si="2"/>
        <v>4</v>
      </c>
      <c r="M114" s="1" t="str">
        <f t="shared" si="3"/>
        <v>Сильный признак</v>
      </c>
      <c r="N114" s="1" t="s">
        <v>945</v>
      </c>
    </row>
    <row r="115" spans="1:14" ht="25.5">
      <c r="A115" s="1" t="s">
        <v>64</v>
      </c>
      <c r="B115" s="1" t="s">
        <v>391</v>
      </c>
      <c r="C115" s="1" t="s">
        <v>579</v>
      </c>
      <c r="D115" s="1" t="s">
        <v>177</v>
      </c>
      <c r="E115" s="1" t="s">
        <v>558</v>
      </c>
      <c r="F115" s="1" t="s">
        <v>559</v>
      </c>
      <c r="G115" s="1" t="s">
        <v>507</v>
      </c>
      <c r="H115" s="1">
        <v>1</v>
      </c>
      <c r="I115" s="1">
        <v>2</v>
      </c>
      <c r="J115" s="1">
        <v>3</v>
      </c>
      <c r="K115" s="1">
        <v>3</v>
      </c>
      <c r="L115" s="1">
        <f t="shared" si="2"/>
        <v>2.5</v>
      </c>
      <c r="M115" s="1" t="str">
        <f t="shared" si="3"/>
        <v>Рабочий признак</v>
      </c>
      <c r="N115" s="1" t="s">
        <v>945</v>
      </c>
    </row>
    <row r="116" spans="1:14" ht="25.5">
      <c r="A116" s="1" t="s">
        <v>65</v>
      </c>
      <c r="B116" s="1" t="s">
        <v>396</v>
      </c>
      <c r="C116" s="1" t="s">
        <v>472</v>
      </c>
      <c r="D116" s="1" t="s">
        <v>151</v>
      </c>
      <c r="E116" s="1" t="s">
        <v>499</v>
      </c>
      <c r="F116" s="1" t="s">
        <v>589</v>
      </c>
      <c r="G116" s="1" t="s">
        <v>501</v>
      </c>
      <c r="H116" s="1">
        <v>1</v>
      </c>
      <c r="I116" s="1">
        <v>3</v>
      </c>
      <c r="J116" s="1">
        <v>3</v>
      </c>
      <c r="K116" s="1">
        <v>5</v>
      </c>
      <c r="L116" s="1">
        <f t="shared" si="2"/>
        <v>5</v>
      </c>
      <c r="M116" s="1" t="str">
        <f t="shared" si="3"/>
        <v>Сильный признак</v>
      </c>
      <c r="N116" s="1" t="s">
        <v>945</v>
      </c>
    </row>
    <row r="117" spans="1:14" ht="25.5">
      <c r="A117" s="1" t="s">
        <v>65</v>
      </c>
      <c r="B117" s="1" t="s">
        <v>396</v>
      </c>
      <c r="C117" s="1" t="s">
        <v>472</v>
      </c>
      <c r="D117" s="1" t="s">
        <v>158</v>
      </c>
      <c r="E117" s="1" t="s">
        <v>502</v>
      </c>
      <c r="F117" s="1" t="s">
        <v>590</v>
      </c>
      <c r="G117" s="1" t="s">
        <v>504</v>
      </c>
      <c r="H117" s="1">
        <v>1</v>
      </c>
      <c r="I117" s="1">
        <v>3</v>
      </c>
      <c r="J117" s="1">
        <v>3</v>
      </c>
      <c r="K117" s="1">
        <v>4</v>
      </c>
      <c r="L117" s="1">
        <f t="shared" si="2"/>
        <v>4</v>
      </c>
      <c r="M117" s="1" t="str">
        <f t="shared" si="3"/>
        <v>Сильный признак</v>
      </c>
      <c r="N117" s="1" t="s">
        <v>945</v>
      </c>
    </row>
    <row r="118" spans="1:14" ht="25.5">
      <c r="A118" s="1" t="s">
        <v>65</v>
      </c>
      <c r="B118" s="1" t="s">
        <v>396</v>
      </c>
      <c r="C118" s="1" t="s">
        <v>472</v>
      </c>
      <c r="D118" s="1" t="s">
        <v>158</v>
      </c>
      <c r="E118" s="1" t="s">
        <v>505</v>
      </c>
      <c r="F118" s="1" t="s">
        <v>506</v>
      </c>
      <c r="G118" s="1" t="s">
        <v>507</v>
      </c>
      <c r="H118" s="1">
        <v>1</v>
      </c>
      <c r="I118" s="1">
        <v>3</v>
      </c>
      <c r="J118" s="1">
        <v>3</v>
      </c>
      <c r="K118" s="1">
        <v>5</v>
      </c>
      <c r="L118" s="1">
        <f t="shared" si="2"/>
        <v>5</v>
      </c>
      <c r="M118" s="1" t="str">
        <f t="shared" si="3"/>
        <v>Сильный признак</v>
      </c>
      <c r="N118" s="1" t="s">
        <v>945</v>
      </c>
    </row>
    <row r="119" spans="1:14" ht="25.5">
      <c r="A119" s="1" t="s">
        <v>65</v>
      </c>
      <c r="B119" s="1" t="s">
        <v>396</v>
      </c>
      <c r="C119" s="1" t="s">
        <v>474</v>
      </c>
      <c r="D119" s="1" t="s">
        <v>162</v>
      </c>
      <c r="E119" s="1" t="s">
        <v>508</v>
      </c>
      <c r="F119" s="1" t="s">
        <v>790</v>
      </c>
      <c r="G119" s="1" t="s">
        <v>507</v>
      </c>
      <c r="H119" s="1">
        <v>1</v>
      </c>
      <c r="I119" s="1">
        <v>3</v>
      </c>
      <c r="J119" s="1">
        <v>3</v>
      </c>
      <c r="K119" s="1">
        <v>5</v>
      </c>
      <c r="L119" s="1">
        <f t="shared" si="2"/>
        <v>5</v>
      </c>
      <c r="M119" s="1" t="str">
        <f t="shared" si="3"/>
        <v>Сильный признак</v>
      </c>
      <c r="N119" s="1" t="s">
        <v>945</v>
      </c>
    </row>
    <row r="120" spans="1:14" ht="25.5">
      <c r="A120" s="1" t="s">
        <v>65</v>
      </c>
      <c r="B120" s="1" t="s">
        <v>396</v>
      </c>
      <c r="C120" s="1" t="s">
        <v>474</v>
      </c>
      <c r="D120" s="1" t="s">
        <v>162</v>
      </c>
      <c r="E120" s="1" t="s">
        <v>535</v>
      </c>
      <c r="F120" s="1" t="s">
        <v>791</v>
      </c>
      <c r="G120" s="1" t="s">
        <v>507</v>
      </c>
      <c r="H120" s="1">
        <v>1</v>
      </c>
      <c r="I120" s="1">
        <v>3</v>
      </c>
      <c r="J120" s="1">
        <v>3</v>
      </c>
      <c r="K120" s="1">
        <v>4</v>
      </c>
      <c r="L120" s="1">
        <f t="shared" si="2"/>
        <v>4</v>
      </c>
      <c r="M120" s="1" t="str">
        <f t="shared" si="3"/>
        <v>Сильный признак</v>
      </c>
      <c r="N120" s="1" t="s">
        <v>945</v>
      </c>
    </row>
    <row r="121" spans="1:14" ht="25.5">
      <c r="A121" s="1" t="s">
        <v>65</v>
      </c>
      <c r="B121" s="1" t="s">
        <v>396</v>
      </c>
      <c r="C121" s="1" t="s">
        <v>474</v>
      </c>
      <c r="D121" s="1" t="s">
        <v>162</v>
      </c>
      <c r="E121" s="1" t="s">
        <v>536</v>
      </c>
      <c r="F121" s="1" t="s">
        <v>537</v>
      </c>
      <c r="G121" s="1" t="s">
        <v>507</v>
      </c>
      <c r="H121" s="1">
        <v>1</v>
      </c>
      <c r="I121" s="1">
        <v>3</v>
      </c>
      <c r="J121" s="1">
        <v>3</v>
      </c>
      <c r="K121" s="1">
        <v>5</v>
      </c>
      <c r="L121" s="1">
        <f t="shared" si="2"/>
        <v>5</v>
      </c>
      <c r="M121" s="1" t="str">
        <f t="shared" si="3"/>
        <v>Сильный признак</v>
      </c>
      <c r="N121" s="1" t="s">
        <v>945</v>
      </c>
    </row>
    <row r="122" spans="1:14" ht="25.5">
      <c r="A122" s="1" t="s">
        <v>65</v>
      </c>
      <c r="B122" s="1" t="s">
        <v>396</v>
      </c>
      <c r="C122" s="1" t="s">
        <v>474</v>
      </c>
      <c r="D122" s="1" t="s">
        <v>171</v>
      </c>
      <c r="E122" s="1" t="s">
        <v>538</v>
      </c>
      <c r="F122" s="1" t="s">
        <v>539</v>
      </c>
      <c r="G122" s="1" t="s">
        <v>507</v>
      </c>
      <c r="H122" s="1">
        <v>1</v>
      </c>
      <c r="I122" s="1">
        <v>3</v>
      </c>
      <c r="J122" s="1">
        <v>3</v>
      </c>
      <c r="K122" s="1">
        <v>2</v>
      </c>
      <c r="L122" s="1">
        <f t="shared" si="2"/>
        <v>2</v>
      </c>
      <c r="M122" s="1" t="str">
        <f t="shared" si="3"/>
        <v>Рабочий признак</v>
      </c>
      <c r="N122" s="1" t="s">
        <v>945</v>
      </c>
    </row>
    <row r="123" spans="1:14" ht="25.5">
      <c r="A123" s="1" t="s">
        <v>65</v>
      </c>
      <c r="B123" s="1" t="s">
        <v>396</v>
      </c>
      <c r="C123" s="1" t="s">
        <v>474</v>
      </c>
      <c r="D123" s="1" t="s">
        <v>162</v>
      </c>
      <c r="E123" s="1" t="s">
        <v>540</v>
      </c>
      <c r="F123" s="1" t="s">
        <v>792</v>
      </c>
      <c r="G123" s="1" t="s">
        <v>507</v>
      </c>
      <c r="H123" s="1">
        <v>1</v>
      </c>
      <c r="I123" s="1">
        <v>3</v>
      </c>
      <c r="J123" s="1">
        <v>3</v>
      </c>
      <c r="K123" s="1">
        <v>3</v>
      </c>
      <c r="L123" s="1">
        <f t="shared" si="2"/>
        <v>3</v>
      </c>
      <c r="M123" s="1" t="str">
        <f t="shared" si="3"/>
        <v>Рабочий признак</v>
      </c>
      <c r="N123" s="1" t="s">
        <v>945</v>
      </c>
    </row>
    <row r="124" spans="1:14" ht="25.5">
      <c r="A124" s="1" t="s">
        <v>65</v>
      </c>
      <c r="B124" s="1" t="s">
        <v>396</v>
      </c>
      <c r="C124" s="1" t="s">
        <v>474</v>
      </c>
      <c r="D124" s="1" t="s">
        <v>171</v>
      </c>
      <c r="E124" s="1" t="s">
        <v>542</v>
      </c>
      <c r="F124" s="1" t="s">
        <v>591</v>
      </c>
      <c r="G124" s="1" t="s">
        <v>507</v>
      </c>
      <c r="H124" s="1">
        <v>1</v>
      </c>
      <c r="I124" s="1">
        <v>3</v>
      </c>
      <c r="J124" s="1">
        <v>3</v>
      </c>
      <c r="K124" s="1">
        <v>3</v>
      </c>
      <c r="L124" s="1">
        <f t="shared" si="2"/>
        <v>3</v>
      </c>
      <c r="M124" s="1" t="str">
        <f t="shared" si="3"/>
        <v>Рабочий признак</v>
      </c>
      <c r="N124" s="1" t="s">
        <v>945</v>
      </c>
    </row>
    <row r="125" spans="1:14" ht="25.5">
      <c r="A125" s="1" t="s">
        <v>65</v>
      </c>
      <c r="B125" s="1" t="s">
        <v>396</v>
      </c>
      <c r="C125" s="1" t="s">
        <v>474</v>
      </c>
      <c r="D125" s="1" t="s">
        <v>171</v>
      </c>
      <c r="E125" s="1" t="s">
        <v>544</v>
      </c>
      <c r="F125" s="1" t="s">
        <v>592</v>
      </c>
      <c r="G125" s="1" t="s">
        <v>507</v>
      </c>
      <c r="H125" s="1">
        <v>1</v>
      </c>
      <c r="I125" s="1">
        <v>3</v>
      </c>
      <c r="J125" s="1">
        <v>3</v>
      </c>
      <c r="K125" s="1">
        <v>4</v>
      </c>
      <c r="L125" s="1">
        <f t="shared" si="2"/>
        <v>4</v>
      </c>
      <c r="M125" s="1" t="str">
        <f t="shared" si="3"/>
        <v>Сильный признак</v>
      </c>
      <c r="N125" s="1" t="s">
        <v>945</v>
      </c>
    </row>
    <row r="126" spans="1:14" ht="25.5">
      <c r="A126" s="1" t="s">
        <v>65</v>
      </c>
      <c r="B126" s="1" t="s">
        <v>396</v>
      </c>
      <c r="C126" s="1" t="s">
        <v>472</v>
      </c>
      <c r="D126" s="1" t="s">
        <v>162</v>
      </c>
      <c r="E126" s="1" t="s">
        <v>510</v>
      </c>
      <c r="F126" s="1" t="s">
        <v>511</v>
      </c>
      <c r="G126" s="1" t="s">
        <v>507</v>
      </c>
      <c r="H126" s="1">
        <v>1</v>
      </c>
      <c r="I126" s="1">
        <v>2</v>
      </c>
      <c r="J126" s="1">
        <v>3</v>
      </c>
      <c r="K126" s="1">
        <v>4</v>
      </c>
      <c r="L126" s="1">
        <f t="shared" si="2"/>
        <v>3.33</v>
      </c>
      <c r="M126" s="1" t="str">
        <f t="shared" si="3"/>
        <v>Рабочий признак</v>
      </c>
      <c r="N126" s="1" t="s">
        <v>945</v>
      </c>
    </row>
    <row r="127" spans="1:14" ht="25.5">
      <c r="A127" s="1" t="s">
        <v>65</v>
      </c>
      <c r="B127" s="1" t="s">
        <v>396</v>
      </c>
      <c r="C127" s="1" t="s">
        <v>472</v>
      </c>
      <c r="D127" s="1" t="s">
        <v>171</v>
      </c>
      <c r="E127" s="1" t="s">
        <v>529</v>
      </c>
      <c r="F127" s="1" t="s">
        <v>530</v>
      </c>
      <c r="G127" s="1" t="s">
        <v>507</v>
      </c>
      <c r="H127" s="1">
        <v>1</v>
      </c>
      <c r="I127" s="1">
        <v>3</v>
      </c>
      <c r="J127" s="1">
        <v>3</v>
      </c>
      <c r="K127" s="1">
        <v>3</v>
      </c>
      <c r="L127" s="1">
        <f t="shared" si="2"/>
        <v>3</v>
      </c>
      <c r="M127" s="1" t="str">
        <f t="shared" si="3"/>
        <v>Рабочий признак</v>
      </c>
      <c r="N127" s="1" t="s">
        <v>945</v>
      </c>
    </row>
    <row r="128" spans="1:14" ht="25.5">
      <c r="A128" s="1" t="s">
        <v>65</v>
      </c>
      <c r="B128" s="1" t="s">
        <v>396</v>
      </c>
      <c r="C128" s="1" t="s">
        <v>472</v>
      </c>
      <c r="D128" s="1" t="s">
        <v>171</v>
      </c>
      <c r="E128" s="1" t="s">
        <v>514</v>
      </c>
      <c r="F128" s="1" t="s">
        <v>515</v>
      </c>
      <c r="G128" s="1" t="s">
        <v>507</v>
      </c>
      <c r="H128" s="1">
        <v>1</v>
      </c>
      <c r="I128" s="1">
        <v>2</v>
      </c>
      <c r="J128" s="1">
        <v>3</v>
      </c>
      <c r="K128" s="1">
        <v>3</v>
      </c>
      <c r="L128" s="1">
        <f t="shared" si="2"/>
        <v>2.5</v>
      </c>
      <c r="M128" s="1" t="str">
        <f t="shared" si="3"/>
        <v>Рабочий признак</v>
      </c>
      <c r="N128" s="1" t="s">
        <v>945</v>
      </c>
    </row>
    <row r="129" spans="1:14" ht="25.5">
      <c r="A129" s="1" t="s">
        <v>65</v>
      </c>
      <c r="B129" s="1" t="s">
        <v>396</v>
      </c>
      <c r="C129" s="1" t="s">
        <v>472</v>
      </c>
      <c r="D129" s="1" t="s">
        <v>171</v>
      </c>
      <c r="E129" s="1" t="s">
        <v>548</v>
      </c>
      <c r="F129" s="1" t="s">
        <v>549</v>
      </c>
      <c r="G129" s="1" t="s">
        <v>507</v>
      </c>
      <c r="H129" s="1">
        <v>1</v>
      </c>
      <c r="I129" s="1">
        <v>2</v>
      </c>
      <c r="J129" s="1">
        <v>3</v>
      </c>
      <c r="K129" s="1">
        <v>3</v>
      </c>
      <c r="L129" s="1">
        <f t="shared" si="2"/>
        <v>2.5</v>
      </c>
      <c r="M129" s="1" t="str">
        <f t="shared" si="3"/>
        <v>Рабочий признак</v>
      </c>
      <c r="N129" s="1" t="s">
        <v>945</v>
      </c>
    </row>
    <row r="130" spans="1:14" ht="25.5">
      <c r="A130" s="1" t="s">
        <v>65</v>
      </c>
      <c r="B130" s="1" t="s">
        <v>396</v>
      </c>
      <c r="C130" s="1" t="s">
        <v>474</v>
      </c>
      <c r="D130" s="1" t="s">
        <v>171</v>
      </c>
      <c r="E130" s="1" t="s">
        <v>550</v>
      </c>
      <c r="F130" s="1" t="s">
        <v>593</v>
      </c>
      <c r="G130" s="1" t="s">
        <v>507</v>
      </c>
      <c r="H130" s="1">
        <v>1</v>
      </c>
      <c r="I130" s="1">
        <v>3</v>
      </c>
      <c r="J130" s="1">
        <v>3</v>
      </c>
      <c r="K130" s="1">
        <v>2</v>
      </c>
      <c r="L130" s="1">
        <f t="shared" si="2"/>
        <v>2</v>
      </c>
      <c r="M130" s="1" t="str">
        <f t="shared" si="3"/>
        <v>Рабочий признак</v>
      </c>
      <c r="N130" s="1" t="s">
        <v>945</v>
      </c>
    </row>
    <row r="131" spans="1:14" ht="25.5">
      <c r="A131" s="1" t="s">
        <v>65</v>
      </c>
      <c r="B131" s="1" t="s">
        <v>396</v>
      </c>
      <c r="C131" s="1" t="s">
        <v>472</v>
      </c>
      <c r="D131" s="1" t="s">
        <v>162</v>
      </c>
      <c r="E131" s="1" t="s">
        <v>552</v>
      </c>
      <c r="F131" s="1" t="s">
        <v>553</v>
      </c>
      <c r="G131" s="1" t="s">
        <v>507</v>
      </c>
      <c r="H131" s="1">
        <v>1</v>
      </c>
      <c r="I131" s="1">
        <v>2</v>
      </c>
      <c r="J131" s="1">
        <v>3</v>
      </c>
      <c r="K131" s="1">
        <v>3</v>
      </c>
      <c r="L131" s="1">
        <f t="shared" si="2"/>
        <v>2.5</v>
      </c>
      <c r="M131" s="1" t="str">
        <f t="shared" si="3"/>
        <v>Рабочий признак</v>
      </c>
      <c r="N131" s="1" t="s">
        <v>945</v>
      </c>
    </row>
    <row r="132" spans="1:14" ht="25.5">
      <c r="A132" s="1" t="s">
        <v>65</v>
      </c>
      <c r="B132" s="1" t="s">
        <v>396</v>
      </c>
      <c r="C132" s="1" t="s">
        <v>472</v>
      </c>
      <c r="D132" s="1" t="s">
        <v>162</v>
      </c>
      <c r="E132" s="1" t="s">
        <v>587</v>
      </c>
      <c r="F132" s="1" t="s">
        <v>594</v>
      </c>
      <c r="G132" s="1" t="s">
        <v>507</v>
      </c>
      <c r="H132" s="1">
        <v>1</v>
      </c>
      <c r="I132" s="1">
        <v>3</v>
      </c>
      <c r="J132" s="1">
        <v>3</v>
      </c>
      <c r="K132" s="1">
        <v>4</v>
      </c>
      <c r="L132" s="1">
        <f t="shared" ref="L132:L156" si="4">IF(OR(H132="",I132="",J132="",K132=""),"",ROUND(H132*((I132+J132)/6)*K132,2))</f>
        <v>4</v>
      </c>
      <c r="M132" s="1" t="str">
        <f t="shared" ref="M132:M156" si="5">IF(L132="","",IF(AND(L132&gt;=3.5,H132=1),"Сильный признак",IF(AND(L132&gt;=2,H132=1),"Рабочий признак",IF(H132=1,"Слабый признак","Отсутствует"))))</f>
        <v>Сильный признак</v>
      </c>
      <c r="N132" s="1" t="s">
        <v>945</v>
      </c>
    </row>
    <row r="133" spans="1:14" ht="25.5">
      <c r="A133" s="1" t="s">
        <v>65</v>
      </c>
      <c r="B133" s="1" t="s">
        <v>396</v>
      </c>
      <c r="C133" s="1" t="s">
        <v>472</v>
      </c>
      <c r="D133" s="1" t="s">
        <v>162</v>
      </c>
      <c r="E133" s="1" t="s">
        <v>554</v>
      </c>
      <c r="F133" s="1" t="s">
        <v>555</v>
      </c>
      <c r="G133" s="1" t="s">
        <v>507</v>
      </c>
      <c r="H133" s="1">
        <v>1</v>
      </c>
      <c r="I133" s="1">
        <v>3</v>
      </c>
      <c r="J133" s="1">
        <v>3</v>
      </c>
      <c r="K133" s="1">
        <v>4</v>
      </c>
      <c r="L133" s="1">
        <f t="shared" si="4"/>
        <v>4</v>
      </c>
      <c r="M133" s="1" t="str">
        <f t="shared" si="5"/>
        <v>Сильный признак</v>
      </c>
      <c r="N133" s="1" t="s">
        <v>945</v>
      </c>
    </row>
    <row r="134" spans="1:14" ht="25.5">
      <c r="A134" s="1" t="s">
        <v>65</v>
      </c>
      <c r="B134" s="1" t="s">
        <v>396</v>
      </c>
      <c r="C134" s="1" t="s">
        <v>472</v>
      </c>
      <c r="D134" s="1" t="s">
        <v>162</v>
      </c>
      <c r="E134" s="1" t="s">
        <v>516</v>
      </c>
      <c r="F134" s="1" t="s">
        <v>517</v>
      </c>
      <c r="G134" s="1" t="s">
        <v>507</v>
      </c>
      <c r="H134" s="1">
        <v>1</v>
      </c>
      <c r="I134" s="1">
        <v>3</v>
      </c>
      <c r="J134" s="1">
        <v>3</v>
      </c>
      <c r="K134" s="1">
        <v>5</v>
      </c>
      <c r="L134" s="1">
        <f t="shared" si="4"/>
        <v>5</v>
      </c>
      <c r="M134" s="1" t="str">
        <f t="shared" si="5"/>
        <v>Сильный признак</v>
      </c>
      <c r="N134" s="1" t="s">
        <v>945</v>
      </c>
    </row>
    <row r="135" spans="1:14" ht="25.5">
      <c r="A135" s="1" t="s">
        <v>65</v>
      </c>
      <c r="B135" s="1" t="s">
        <v>396</v>
      </c>
      <c r="C135" s="1" t="s">
        <v>474</v>
      </c>
      <c r="D135" s="1" t="s">
        <v>171</v>
      </c>
      <c r="E135" s="1" t="s">
        <v>556</v>
      </c>
      <c r="F135" s="1" t="s">
        <v>595</v>
      </c>
      <c r="G135" s="1" t="s">
        <v>507</v>
      </c>
      <c r="H135" s="1">
        <v>1</v>
      </c>
      <c r="I135" s="1">
        <v>3</v>
      </c>
      <c r="J135" s="1">
        <v>3</v>
      </c>
      <c r="K135" s="1">
        <v>3</v>
      </c>
      <c r="L135" s="1">
        <f t="shared" si="4"/>
        <v>3</v>
      </c>
      <c r="M135" s="1" t="str">
        <f t="shared" si="5"/>
        <v>Рабочий признак</v>
      </c>
      <c r="N135" s="1" t="s">
        <v>945</v>
      </c>
    </row>
    <row r="136" spans="1:14" ht="25.5">
      <c r="A136" s="1" t="s">
        <v>65</v>
      </c>
      <c r="B136" s="1" t="s">
        <v>396</v>
      </c>
      <c r="C136" s="1" t="s">
        <v>472</v>
      </c>
      <c r="D136" s="1" t="s">
        <v>162</v>
      </c>
      <c r="E136" s="1" t="s">
        <v>518</v>
      </c>
      <c r="F136" s="1" t="s">
        <v>519</v>
      </c>
      <c r="G136" s="1" t="s">
        <v>507</v>
      </c>
      <c r="H136" s="1">
        <v>1</v>
      </c>
      <c r="I136" s="1">
        <v>3</v>
      </c>
      <c r="J136" s="1">
        <v>3</v>
      </c>
      <c r="K136" s="1">
        <v>4</v>
      </c>
      <c r="L136" s="1">
        <f t="shared" si="4"/>
        <v>4</v>
      </c>
      <c r="M136" s="1" t="str">
        <f t="shared" si="5"/>
        <v>Сильный признак</v>
      </c>
      <c r="N136" s="1" t="s">
        <v>945</v>
      </c>
    </row>
    <row r="137" spans="1:14" ht="25.5">
      <c r="A137" s="1" t="s">
        <v>65</v>
      </c>
      <c r="B137" s="1" t="s">
        <v>396</v>
      </c>
      <c r="C137" s="1" t="s">
        <v>472</v>
      </c>
      <c r="D137" s="1" t="s">
        <v>171</v>
      </c>
      <c r="E137" s="1" t="s">
        <v>570</v>
      </c>
      <c r="F137" s="1" t="s">
        <v>571</v>
      </c>
      <c r="G137" s="1" t="s">
        <v>507</v>
      </c>
      <c r="H137" s="1">
        <v>1</v>
      </c>
      <c r="I137" s="1">
        <v>3</v>
      </c>
      <c r="J137" s="1">
        <v>3</v>
      </c>
      <c r="K137" s="1">
        <v>4</v>
      </c>
      <c r="L137" s="1">
        <f t="shared" si="4"/>
        <v>4</v>
      </c>
      <c r="M137" s="1" t="str">
        <f t="shared" si="5"/>
        <v>Сильный признак</v>
      </c>
      <c r="N137" s="1" t="s">
        <v>945</v>
      </c>
    </row>
    <row r="138" spans="1:14" ht="25.5">
      <c r="A138" s="1" t="s">
        <v>65</v>
      </c>
      <c r="B138" s="1" t="s">
        <v>396</v>
      </c>
      <c r="C138" s="1" t="s">
        <v>472</v>
      </c>
      <c r="D138" s="1" t="s">
        <v>171</v>
      </c>
      <c r="E138" s="1" t="s">
        <v>522</v>
      </c>
      <c r="F138" s="1" t="s">
        <v>523</v>
      </c>
      <c r="G138" s="1" t="s">
        <v>507</v>
      </c>
      <c r="H138" s="1">
        <v>1</v>
      </c>
      <c r="I138" s="1">
        <v>3</v>
      </c>
      <c r="J138" s="1">
        <v>3</v>
      </c>
      <c r="K138" s="1">
        <v>4</v>
      </c>
      <c r="L138" s="1">
        <f t="shared" si="4"/>
        <v>4</v>
      </c>
      <c r="M138" s="1" t="str">
        <f t="shared" si="5"/>
        <v>Сильный признак</v>
      </c>
      <c r="N138" s="1" t="s">
        <v>945</v>
      </c>
    </row>
    <row r="139" spans="1:14" ht="25.5">
      <c r="A139" s="1" t="s">
        <v>65</v>
      </c>
      <c r="B139" s="1" t="s">
        <v>396</v>
      </c>
      <c r="C139" s="1" t="s">
        <v>472</v>
      </c>
      <c r="D139" s="1" t="s">
        <v>171</v>
      </c>
      <c r="E139" s="1" t="s">
        <v>892</v>
      </c>
      <c r="F139" s="1" t="s">
        <v>893</v>
      </c>
      <c r="G139" s="1" t="s">
        <v>507</v>
      </c>
      <c r="H139" s="1">
        <v>1</v>
      </c>
      <c r="I139" s="1">
        <v>2</v>
      </c>
      <c r="J139" s="1">
        <v>3</v>
      </c>
      <c r="K139" s="1">
        <v>3</v>
      </c>
      <c r="L139" s="1">
        <f t="shared" si="4"/>
        <v>2.5</v>
      </c>
      <c r="M139" s="1" t="str">
        <f t="shared" si="5"/>
        <v>Рабочий признак</v>
      </c>
      <c r="N139" s="1" t="s">
        <v>945</v>
      </c>
    </row>
    <row r="140" spans="1:14" ht="25.5">
      <c r="A140" s="1" t="s">
        <v>65</v>
      </c>
      <c r="B140" s="1" t="s">
        <v>396</v>
      </c>
      <c r="C140" s="1" t="s">
        <v>472</v>
      </c>
      <c r="D140" s="1" t="s">
        <v>177</v>
      </c>
      <c r="E140" s="1" t="s">
        <v>558</v>
      </c>
      <c r="F140" s="1" t="s">
        <v>559</v>
      </c>
      <c r="G140" s="1" t="s">
        <v>507</v>
      </c>
      <c r="H140" s="1">
        <v>1</v>
      </c>
      <c r="I140" s="1">
        <v>2</v>
      </c>
      <c r="J140" s="1">
        <v>3</v>
      </c>
      <c r="K140" s="1">
        <v>3</v>
      </c>
      <c r="L140" s="1">
        <f t="shared" si="4"/>
        <v>2.5</v>
      </c>
      <c r="M140" s="1" t="str">
        <f t="shared" si="5"/>
        <v>Рабочий признак</v>
      </c>
      <c r="N140" s="1" t="s">
        <v>945</v>
      </c>
    </row>
    <row r="141" spans="1:14" ht="25.5">
      <c r="A141" s="1" t="s">
        <v>66</v>
      </c>
      <c r="B141" s="1" t="s">
        <v>401</v>
      </c>
      <c r="C141" s="1" t="s">
        <v>484</v>
      </c>
      <c r="D141" s="1" t="s">
        <v>151</v>
      </c>
      <c r="E141" s="1" t="s">
        <v>499</v>
      </c>
      <c r="F141" s="1" t="s">
        <v>596</v>
      </c>
      <c r="G141" s="1" t="s">
        <v>501</v>
      </c>
      <c r="H141" s="1">
        <v>1</v>
      </c>
      <c r="I141" s="1">
        <v>3</v>
      </c>
      <c r="J141" s="1">
        <v>3</v>
      </c>
      <c r="K141" s="1">
        <v>5</v>
      </c>
      <c r="L141" s="1">
        <f t="shared" si="4"/>
        <v>5</v>
      </c>
      <c r="M141" s="1" t="str">
        <f t="shared" si="5"/>
        <v>Сильный признак</v>
      </c>
      <c r="N141" s="1" t="s">
        <v>945</v>
      </c>
    </row>
    <row r="142" spans="1:14" ht="38.25">
      <c r="A142" s="1" t="s">
        <v>66</v>
      </c>
      <c r="B142" s="1" t="s">
        <v>401</v>
      </c>
      <c r="C142" s="1" t="s">
        <v>484</v>
      </c>
      <c r="D142" s="1" t="s">
        <v>158</v>
      </c>
      <c r="E142" s="1" t="s">
        <v>502</v>
      </c>
      <c r="F142" s="1" t="s">
        <v>597</v>
      </c>
      <c r="G142" s="1" t="s">
        <v>504</v>
      </c>
      <c r="H142" s="1">
        <v>1</v>
      </c>
      <c r="I142" s="1">
        <v>3</v>
      </c>
      <c r="J142" s="1">
        <v>3</v>
      </c>
      <c r="K142" s="1">
        <v>4</v>
      </c>
      <c r="L142" s="1">
        <f t="shared" si="4"/>
        <v>4</v>
      </c>
      <c r="M142" s="1" t="str">
        <f t="shared" si="5"/>
        <v>Сильный признак</v>
      </c>
      <c r="N142" s="1" t="s">
        <v>945</v>
      </c>
    </row>
    <row r="143" spans="1:14" ht="25.5">
      <c r="A143" s="1" t="s">
        <v>66</v>
      </c>
      <c r="B143" s="1" t="s">
        <v>401</v>
      </c>
      <c r="C143" s="1" t="s">
        <v>485</v>
      </c>
      <c r="D143" s="1" t="s">
        <v>162</v>
      </c>
      <c r="E143" s="1" t="s">
        <v>508</v>
      </c>
      <c r="F143" s="1" t="s">
        <v>793</v>
      </c>
      <c r="G143" s="1" t="s">
        <v>507</v>
      </c>
      <c r="H143" s="1">
        <v>1</v>
      </c>
      <c r="I143" s="1">
        <v>3</v>
      </c>
      <c r="J143" s="1">
        <v>3</v>
      </c>
      <c r="K143" s="1">
        <v>5</v>
      </c>
      <c r="L143" s="1">
        <f t="shared" si="4"/>
        <v>5</v>
      </c>
      <c r="M143" s="1" t="str">
        <f t="shared" si="5"/>
        <v>Сильный признак</v>
      </c>
      <c r="N143" s="1" t="s">
        <v>945</v>
      </c>
    </row>
    <row r="144" spans="1:14" ht="25.5">
      <c r="A144" s="1" t="s">
        <v>66</v>
      </c>
      <c r="B144" s="1" t="s">
        <v>401</v>
      </c>
      <c r="C144" s="1" t="s">
        <v>485</v>
      </c>
      <c r="D144" s="1" t="s">
        <v>162</v>
      </c>
      <c r="E144" s="1" t="s">
        <v>535</v>
      </c>
      <c r="F144" s="1" t="s">
        <v>794</v>
      </c>
      <c r="G144" s="1" t="s">
        <v>507</v>
      </c>
      <c r="H144" s="1">
        <v>1</v>
      </c>
      <c r="I144" s="1">
        <v>3</v>
      </c>
      <c r="J144" s="1">
        <v>3</v>
      </c>
      <c r="K144" s="1">
        <v>4</v>
      </c>
      <c r="L144" s="1">
        <f t="shared" si="4"/>
        <v>4</v>
      </c>
      <c r="M144" s="1" t="str">
        <f t="shared" si="5"/>
        <v>Сильный признак</v>
      </c>
      <c r="N144" s="1" t="s">
        <v>945</v>
      </c>
    </row>
    <row r="145" spans="1:14" ht="25.5">
      <c r="A145" s="1" t="s">
        <v>66</v>
      </c>
      <c r="B145" s="1" t="s">
        <v>401</v>
      </c>
      <c r="C145" s="1" t="s">
        <v>485</v>
      </c>
      <c r="D145" s="1" t="s">
        <v>162</v>
      </c>
      <c r="E145" s="1" t="s">
        <v>536</v>
      </c>
      <c r="F145" s="1" t="s">
        <v>537</v>
      </c>
      <c r="G145" s="1" t="s">
        <v>507</v>
      </c>
      <c r="H145" s="1">
        <v>1</v>
      </c>
      <c r="I145" s="1">
        <v>3</v>
      </c>
      <c r="J145" s="1">
        <v>3</v>
      </c>
      <c r="K145" s="1">
        <v>5</v>
      </c>
      <c r="L145" s="1">
        <f t="shared" si="4"/>
        <v>5</v>
      </c>
      <c r="M145" s="1" t="str">
        <f t="shared" si="5"/>
        <v>Сильный признак</v>
      </c>
      <c r="N145" s="1" t="s">
        <v>945</v>
      </c>
    </row>
    <row r="146" spans="1:14" ht="25.5">
      <c r="A146" s="1" t="s">
        <v>66</v>
      </c>
      <c r="B146" s="1" t="s">
        <v>401</v>
      </c>
      <c r="C146" s="1" t="s">
        <v>485</v>
      </c>
      <c r="D146" s="1" t="s">
        <v>171</v>
      </c>
      <c r="E146" s="1" t="s">
        <v>542</v>
      </c>
      <c r="F146" s="1" t="s">
        <v>598</v>
      </c>
      <c r="G146" s="1" t="s">
        <v>507</v>
      </c>
      <c r="H146" s="1">
        <v>1</v>
      </c>
      <c r="I146" s="1">
        <v>3</v>
      </c>
      <c r="J146" s="1">
        <v>3</v>
      </c>
      <c r="K146" s="1">
        <v>3</v>
      </c>
      <c r="L146" s="1">
        <f t="shared" si="4"/>
        <v>3</v>
      </c>
      <c r="M146" s="1" t="str">
        <f t="shared" si="5"/>
        <v>Рабочий признак</v>
      </c>
      <c r="N146" s="1" t="s">
        <v>945</v>
      </c>
    </row>
    <row r="147" spans="1:14" ht="25.5">
      <c r="A147" s="1" t="s">
        <v>66</v>
      </c>
      <c r="B147" s="1" t="s">
        <v>401</v>
      </c>
      <c r="C147" s="1" t="s">
        <v>485</v>
      </c>
      <c r="D147" s="1" t="s">
        <v>171</v>
      </c>
      <c r="E147" s="1" t="s">
        <v>544</v>
      </c>
      <c r="F147" s="1" t="s">
        <v>584</v>
      </c>
      <c r="G147" s="1" t="s">
        <v>507</v>
      </c>
      <c r="H147" s="1">
        <v>1</v>
      </c>
      <c r="I147" s="1">
        <v>3</v>
      </c>
      <c r="J147" s="1">
        <v>3</v>
      </c>
      <c r="K147" s="1">
        <v>4</v>
      </c>
      <c r="L147" s="1">
        <f t="shared" si="4"/>
        <v>4</v>
      </c>
      <c r="M147" s="1" t="str">
        <f t="shared" si="5"/>
        <v>Сильный признак</v>
      </c>
      <c r="N147" s="1" t="s">
        <v>945</v>
      </c>
    </row>
    <row r="148" spans="1:14" ht="25.5">
      <c r="A148" s="1" t="s">
        <v>66</v>
      </c>
      <c r="B148" s="1" t="s">
        <v>401</v>
      </c>
      <c r="C148" s="1" t="s">
        <v>484</v>
      </c>
      <c r="D148" s="1" t="s">
        <v>162</v>
      </c>
      <c r="E148" s="1" t="s">
        <v>510</v>
      </c>
      <c r="F148" s="1" t="s">
        <v>511</v>
      </c>
      <c r="G148" s="1" t="s">
        <v>507</v>
      </c>
      <c r="H148" s="1">
        <v>1</v>
      </c>
      <c r="I148" s="1">
        <v>2</v>
      </c>
      <c r="J148" s="1">
        <v>3</v>
      </c>
      <c r="K148" s="1">
        <v>4</v>
      </c>
      <c r="L148" s="1">
        <f t="shared" si="4"/>
        <v>3.33</v>
      </c>
      <c r="M148" s="1" t="str">
        <f t="shared" si="5"/>
        <v>Рабочий признак</v>
      </c>
      <c r="N148" s="1" t="s">
        <v>945</v>
      </c>
    </row>
    <row r="149" spans="1:14" ht="25.5">
      <c r="A149" s="1" t="s">
        <v>66</v>
      </c>
      <c r="B149" s="1" t="s">
        <v>401</v>
      </c>
      <c r="C149" s="1" t="s">
        <v>484</v>
      </c>
      <c r="D149" s="1" t="s">
        <v>171</v>
      </c>
      <c r="E149" s="1" t="s">
        <v>514</v>
      </c>
      <c r="F149" s="1" t="s">
        <v>515</v>
      </c>
      <c r="G149" s="1" t="s">
        <v>507</v>
      </c>
      <c r="H149" s="1">
        <v>1</v>
      </c>
      <c r="I149" s="1">
        <v>2</v>
      </c>
      <c r="J149" s="1">
        <v>3</v>
      </c>
      <c r="K149" s="1">
        <v>3</v>
      </c>
      <c r="L149" s="1">
        <f t="shared" si="4"/>
        <v>2.5</v>
      </c>
      <c r="M149" s="1" t="str">
        <f t="shared" si="5"/>
        <v>Рабочий признак</v>
      </c>
      <c r="N149" s="1" t="s">
        <v>945</v>
      </c>
    </row>
    <row r="150" spans="1:14" ht="25.5">
      <c r="A150" s="1" t="s">
        <v>66</v>
      </c>
      <c r="B150" s="1" t="s">
        <v>401</v>
      </c>
      <c r="C150" s="1" t="s">
        <v>484</v>
      </c>
      <c r="D150" s="1" t="s">
        <v>171</v>
      </c>
      <c r="E150" s="1" t="s">
        <v>548</v>
      </c>
      <c r="F150" s="1" t="s">
        <v>549</v>
      </c>
      <c r="G150" s="1" t="s">
        <v>507</v>
      </c>
      <c r="H150" s="1">
        <v>1</v>
      </c>
      <c r="I150" s="1">
        <v>2</v>
      </c>
      <c r="J150" s="1">
        <v>3</v>
      </c>
      <c r="K150" s="1">
        <v>3</v>
      </c>
      <c r="L150" s="1">
        <f t="shared" si="4"/>
        <v>2.5</v>
      </c>
      <c r="M150" s="1" t="str">
        <f t="shared" si="5"/>
        <v>Рабочий признак</v>
      </c>
      <c r="N150" s="1" t="s">
        <v>945</v>
      </c>
    </row>
    <row r="151" spans="1:14" ht="25.5">
      <c r="A151" s="1" t="s">
        <v>66</v>
      </c>
      <c r="B151" s="1" t="s">
        <v>401</v>
      </c>
      <c r="C151" s="1" t="s">
        <v>485</v>
      </c>
      <c r="D151" s="1" t="s">
        <v>171</v>
      </c>
      <c r="E151" s="1" t="s">
        <v>550</v>
      </c>
      <c r="F151" s="1" t="s">
        <v>599</v>
      </c>
      <c r="G151" s="1" t="s">
        <v>507</v>
      </c>
      <c r="H151" s="1">
        <v>1</v>
      </c>
      <c r="I151" s="1">
        <v>3</v>
      </c>
      <c r="J151" s="1">
        <v>3</v>
      </c>
      <c r="K151" s="1">
        <v>2</v>
      </c>
      <c r="L151" s="1">
        <f t="shared" si="4"/>
        <v>2</v>
      </c>
      <c r="M151" s="1" t="str">
        <f t="shared" si="5"/>
        <v>Рабочий признак</v>
      </c>
      <c r="N151" s="1" t="s">
        <v>945</v>
      </c>
    </row>
    <row r="152" spans="1:14" ht="25.5">
      <c r="A152" s="1" t="s">
        <v>66</v>
      </c>
      <c r="B152" s="1" t="s">
        <v>401</v>
      </c>
      <c r="C152" s="1" t="s">
        <v>484</v>
      </c>
      <c r="D152" s="1" t="s">
        <v>162</v>
      </c>
      <c r="E152" s="1" t="s">
        <v>587</v>
      </c>
      <c r="F152" s="1" t="s">
        <v>594</v>
      </c>
      <c r="G152" s="1" t="s">
        <v>507</v>
      </c>
      <c r="H152" s="1">
        <v>1</v>
      </c>
      <c r="I152" s="1">
        <v>3</v>
      </c>
      <c r="J152" s="1">
        <v>3</v>
      </c>
      <c r="K152" s="1">
        <v>4</v>
      </c>
      <c r="L152" s="1">
        <f t="shared" si="4"/>
        <v>4</v>
      </c>
      <c r="M152" s="1" t="str">
        <f t="shared" si="5"/>
        <v>Сильный признак</v>
      </c>
      <c r="N152" s="1" t="s">
        <v>945</v>
      </c>
    </row>
    <row r="153" spans="1:14" ht="25.5">
      <c r="A153" s="1" t="s">
        <v>66</v>
      </c>
      <c r="B153" s="1" t="s">
        <v>401</v>
      </c>
      <c r="C153" s="1" t="s">
        <v>484</v>
      </c>
      <c r="D153" s="1" t="s">
        <v>162</v>
      </c>
      <c r="E153" s="1" t="s">
        <v>554</v>
      </c>
      <c r="F153" s="1" t="s">
        <v>555</v>
      </c>
      <c r="G153" s="1" t="s">
        <v>507</v>
      </c>
      <c r="H153" s="1">
        <v>1</v>
      </c>
      <c r="I153" s="1">
        <v>3</v>
      </c>
      <c r="J153" s="1">
        <v>3</v>
      </c>
      <c r="K153" s="1">
        <v>4</v>
      </c>
      <c r="L153" s="1">
        <f t="shared" si="4"/>
        <v>4</v>
      </c>
      <c r="M153" s="1" t="str">
        <f t="shared" si="5"/>
        <v>Сильный признак</v>
      </c>
      <c r="N153" s="1" t="s">
        <v>945</v>
      </c>
    </row>
    <row r="154" spans="1:14" ht="25.5">
      <c r="A154" s="1" t="s">
        <v>66</v>
      </c>
      <c r="B154" s="1" t="s">
        <v>401</v>
      </c>
      <c r="C154" s="1" t="s">
        <v>484</v>
      </c>
      <c r="D154" s="1" t="s">
        <v>162</v>
      </c>
      <c r="E154" s="1" t="s">
        <v>516</v>
      </c>
      <c r="F154" s="1" t="s">
        <v>517</v>
      </c>
      <c r="G154" s="1" t="s">
        <v>507</v>
      </c>
      <c r="H154" s="1">
        <v>1</v>
      </c>
      <c r="I154" s="1">
        <v>3</v>
      </c>
      <c r="J154" s="1">
        <v>3</v>
      </c>
      <c r="K154" s="1">
        <v>5</v>
      </c>
      <c r="L154" s="1">
        <f t="shared" si="4"/>
        <v>5</v>
      </c>
      <c r="M154" s="1" t="str">
        <f t="shared" si="5"/>
        <v>Сильный признак</v>
      </c>
      <c r="N154" s="1" t="s">
        <v>945</v>
      </c>
    </row>
    <row r="155" spans="1:14" ht="25.5">
      <c r="A155" s="1" t="s">
        <v>66</v>
      </c>
      <c r="B155" s="1" t="s">
        <v>401</v>
      </c>
      <c r="C155" s="1" t="s">
        <v>485</v>
      </c>
      <c r="D155" s="1" t="s">
        <v>171</v>
      </c>
      <c r="E155" s="1" t="s">
        <v>556</v>
      </c>
      <c r="F155" s="1" t="s">
        <v>600</v>
      </c>
      <c r="G155" s="1" t="s">
        <v>507</v>
      </c>
      <c r="H155" s="1">
        <v>1</v>
      </c>
      <c r="I155" s="1">
        <v>3</v>
      </c>
      <c r="J155" s="1">
        <v>3</v>
      </c>
      <c r="K155" s="1">
        <v>3</v>
      </c>
      <c r="L155" s="1">
        <f t="shared" si="4"/>
        <v>3</v>
      </c>
      <c r="M155" s="1" t="str">
        <f t="shared" si="5"/>
        <v>Рабочий признак</v>
      </c>
      <c r="N155" s="1" t="s">
        <v>945</v>
      </c>
    </row>
    <row r="156" spans="1:14" ht="25.5">
      <c r="A156" s="1" t="s">
        <v>66</v>
      </c>
      <c r="B156" s="1" t="s">
        <v>401</v>
      </c>
      <c r="C156" s="1" t="s">
        <v>484</v>
      </c>
      <c r="D156" s="1" t="s">
        <v>171</v>
      </c>
      <c r="E156" s="1" t="s">
        <v>524</v>
      </c>
      <c r="F156" s="1" t="s">
        <v>525</v>
      </c>
      <c r="G156" s="1" t="s">
        <v>507</v>
      </c>
      <c r="H156" s="1">
        <v>1</v>
      </c>
      <c r="I156" s="1">
        <v>2</v>
      </c>
      <c r="J156" s="1">
        <v>3</v>
      </c>
      <c r="K156" s="1">
        <v>2</v>
      </c>
      <c r="L156" s="1">
        <f t="shared" si="4"/>
        <v>1.67</v>
      </c>
      <c r="M156" s="1" t="str">
        <f t="shared" si="5"/>
        <v>Слабый признак</v>
      </c>
      <c r="N156" s="1" t="s">
        <v>945</v>
      </c>
    </row>
  </sheetData>
  <mergeCells count="2">
    <mergeCell ref="A1:N1"/>
    <mergeCell ref="A2:N2"/>
  </mergeCells>
  <conditionalFormatting sqref="L4:L156">
    <cfRule type="colorScale" priority="3">
      <colorScale>
        <cfvo type="min"/>
        <cfvo type="percentile" val="50"/>
        <cfvo type="max"/>
        <color rgb="FFFEE2E2"/>
        <color rgb="FFFEF3C7"/>
        <color rgb="FFDCFCE7"/>
      </colorScale>
    </cfRule>
  </conditionalFormatting>
  <dataValidations count="4">
    <dataValidation type="list" sqref="D4:D156" xr:uid="{00000000-0002-0000-0300-000000000000}">
      <formula1>"1. Базовая выгода,2. Родовой товар,3. Ожидаемый товар,4. Расширенный товар,5. Потенциальный товар"</formula1>
    </dataValidation>
    <dataValidation type="list" sqref="H4:H156" xr:uid="{00000000-0002-0000-0300-000001000000}">
      <formula1>"0,1"</formula1>
    </dataValidation>
    <dataValidation type="list" sqref="I4:J156" xr:uid="{00000000-0002-0000-0300-000002000000}">
      <formula1>"0,1,2,3"</formula1>
    </dataValidation>
    <dataValidation type="list" sqref="K4:K156" xr:uid="{00000000-0002-0000-0300-000003000000}">
      <formula1>"1,2,3,4,5"</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6"/>
  <sheetViews>
    <sheetView workbookViewId="0">
      <selection activeCell="C12" sqref="C12"/>
    </sheetView>
  </sheetViews>
  <sheetFormatPr defaultRowHeight="14.25"/>
  <cols>
    <col min="1" max="1" width="10.5" customWidth="1"/>
    <col min="2" max="2" width="47.625" customWidth="1"/>
    <col min="3" max="3" width="47.5" customWidth="1"/>
    <col min="4" max="4" width="55.625" customWidth="1"/>
    <col min="5" max="5" width="22" customWidth="1"/>
    <col min="6" max="6" width="12" customWidth="1"/>
    <col min="7" max="7" width="32.625" customWidth="1"/>
    <col min="8" max="8" width="17.625" customWidth="1"/>
    <col min="9" max="9" width="29.625" customWidth="1"/>
    <col min="10" max="10" width="40.625" customWidth="1"/>
    <col min="11" max="11" width="55.625" customWidth="1"/>
    <col min="12" max="12" width="18" customWidth="1"/>
    <col min="13" max="13" width="32" customWidth="1"/>
  </cols>
  <sheetData>
    <row r="1" spans="1:13" ht="20.25">
      <c r="A1" s="22" t="s">
        <v>92</v>
      </c>
      <c r="B1" s="22"/>
      <c r="C1" s="22"/>
      <c r="D1" s="22"/>
      <c r="E1" s="22"/>
      <c r="F1" s="22"/>
      <c r="G1" s="22"/>
      <c r="H1" s="22"/>
      <c r="I1" s="22"/>
      <c r="J1" s="22"/>
      <c r="K1" s="22"/>
      <c r="L1" s="22"/>
      <c r="M1" s="22"/>
    </row>
    <row r="2" spans="1:13" ht="15" customHeight="1">
      <c r="A2" s="23" t="s">
        <v>822</v>
      </c>
      <c r="B2" s="23"/>
      <c r="C2" s="23"/>
      <c r="D2" s="23"/>
      <c r="E2" s="23"/>
      <c r="F2" s="23"/>
      <c r="G2" s="23"/>
      <c r="H2" s="23"/>
      <c r="I2" s="23"/>
      <c r="J2" s="23"/>
      <c r="K2" s="23"/>
      <c r="L2" s="23"/>
      <c r="M2" s="23"/>
    </row>
    <row r="3" spans="1:13" ht="38.25">
      <c r="A3" s="9" t="s">
        <v>93</v>
      </c>
      <c r="B3" s="9" t="s">
        <v>94</v>
      </c>
      <c r="C3" s="9" t="s">
        <v>95</v>
      </c>
      <c r="D3" s="9" t="s">
        <v>96</v>
      </c>
      <c r="E3" s="9" t="s">
        <v>97</v>
      </c>
      <c r="F3" s="9" t="s">
        <v>98</v>
      </c>
      <c r="G3" s="9" t="s">
        <v>99</v>
      </c>
      <c r="H3" s="9" t="s">
        <v>100</v>
      </c>
      <c r="I3" s="9" t="s">
        <v>101</v>
      </c>
      <c r="J3" s="9" t="s">
        <v>21</v>
      </c>
      <c r="K3" s="9" t="s">
        <v>102</v>
      </c>
      <c r="L3" s="9" t="s">
        <v>103</v>
      </c>
      <c r="M3" s="9" t="s">
        <v>91</v>
      </c>
    </row>
    <row r="4" spans="1:13" ht="51">
      <c r="A4" s="1" t="s">
        <v>104</v>
      </c>
      <c r="B4" s="1" t="s">
        <v>505</v>
      </c>
      <c r="C4" s="1" t="s">
        <v>601</v>
      </c>
      <c r="D4" s="1" t="s">
        <v>894</v>
      </c>
      <c r="E4" s="1" t="s">
        <v>159</v>
      </c>
      <c r="F4" s="1">
        <v>5</v>
      </c>
      <c r="G4" s="1">
        <v>5</v>
      </c>
      <c r="H4" s="2">
        <f>IF(G4="","",IFERROR(G4/MAX(1,COUNTIF('01_Конкуренты'!$B$4:$B$11,"?*")),""))</f>
        <v>0.625</v>
      </c>
      <c r="I4" s="1">
        <v>5</v>
      </c>
      <c r="J4" s="1" t="str">
        <f t="shared" ref="J4:J35" si="0">IF(B4="","",IF(E4="Обязательное",IF(H4&gt;=0.6,"Минимальный рыночный стандарт","Потенциальный обязательный разрыв"),IF(E4="Линейное",IF(H4&gt;=0.5,"Конкурентная норма с влиянием на выбор","Зона усиления ценности"),IF(E4="Привлекательное",IF(H4&lt;0.5,"Зона дифференциации","Переходит в ожидаемую норму"),IF(E4="Безразличное","Не делать при дефиците ресурсов",IF(E4="Обратное","Исключить или проверить риск отторжения","Требует проверки"))))))</f>
        <v>Минимальный рыночный стандарт</v>
      </c>
      <c r="K4" s="1" t="s">
        <v>602</v>
      </c>
      <c r="L4" s="1" t="s">
        <v>603</v>
      </c>
      <c r="M4" s="1" t="s">
        <v>946</v>
      </c>
    </row>
    <row r="5" spans="1:13" ht="38.25">
      <c r="A5" s="1" t="s">
        <v>105</v>
      </c>
      <c r="B5" s="1" t="s">
        <v>508</v>
      </c>
      <c r="C5" s="1" t="s">
        <v>604</v>
      </c>
      <c r="D5" s="1" t="s">
        <v>895</v>
      </c>
      <c r="E5" s="1" t="s">
        <v>159</v>
      </c>
      <c r="F5" s="1">
        <v>5</v>
      </c>
      <c r="G5" s="1">
        <v>8</v>
      </c>
      <c r="H5" s="2">
        <f>IF(G5="","",IFERROR(G5/MAX(1,COUNTIF('01_Конкуренты'!$B$4:$B$11,"?*")),""))</f>
        <v>1</v>
      </c>
      <c r="I5" s="1">
        <v>5</v>
      </c>
      <c r="J5" s="1" t="str">
        <f t="shared" si="0"/>
        <v>Минимальный рыночный стандарт</v>
      </c>
      <c r="K5" s="1" t="s">
        <v>602</v>
      </c>
      <c r="L5" s="1" t="s">
        <v>603</v>
      </c>
      <c r="M5" s="1" t="s">
        <v>946</v>
      </c>
    </row>
    <row r="6" spans="1:13" ht="38.25">
      <c r="A6" s="1" t="s">
        <v>106</v>
      </c>
      <c r="B6" s="1" t="s">
        <v>535</v>
      </c>
      <c r="C6" s="1" t="s">
        <v>605</v>
      </c>
      <c r="D6" s="1" t="s">
        <v>896</v>
      </c>
      <c r="E6" s="1" t="s">
        <v>155</v>
      </c>
      <c r="F6" s="1">
        <v>4</v>
      </c>
      <c r="G6" s="1">
        <v>5</v>
      </c>
      <c r="H6" s="2">
        <f>IF(G6="","",IFERROR(G6/MAX(1,COUNTIF('01_Конкуренты'!$B$4:$B$11,"?*")),""))</f>
        <v>0.625</v>
      </c>
      <c r="I6" s="1">
        <v>5</v>
      </c>
      <c r="J6" s="1" t="str">
        <f t="shared" si="0"/>
        <v>Конкурентная норма с влиянием на выбор</v>
      </c>
      <c r="K6" s="1" t="s">
        <v>606</v>
      </c>
      <c r="L6" s="1" t="s">
        <v>603</v>
      </c>
      <c r="M6" s="1" t="s">
        <v>947</v>
      </c>
    </row>
    <row r="7" spans="1:13" ht="38.25">
      <c r="A7" s="1" t="s">
        <v>107</v>
      </c>
      <c r="B7" s="1" t="s">
        <v>536</v>
      </c>
      <c r="C7" s="1" t="s">
        <v>607</v>
      </c>
      <c r="D7" s="1" t="s">
        <v>897</v>
      </c>
      <c r="E7" s="1" t="s">
        <v>159</v>
      </c>
      <c r="F7" s="1">
        <v>5</v>
      </c>
      <c r="G7" s="1">
        <v>5</v>
      </c>
      <c r="H7" s="2">
        <f>IF(G7="","",IFERROR(G7/MAX(1,COUNTIF('01_Конкуренты'!$B$4:$B$11,"?*")),""))</f>
        <v>0.625</v>
      </c>
      <c r="I7" s="1">
        <v>5</v>
      </c>
      <c r="J7" s="1" t="str">
        <f t="shared" si="0"/>
        <v>Минимальный рыночный стандарт</v>
      </c>
      <c r="K7" s="1" t="s">
        <v>602</v>
      </c>
      <c r="L7" s="1" t="s">
        <v>603</v>
      </c>
      <c r="M7" s="1" t="s">
        <v>946</v>
      </c>
    </row>
    <row r="8" spans="1:13" ht="38.25">
      <c r="A8" s="1" t="s">
        <v>108</v>
      </c>
      <c r="B8" s="1" t="s">
        <v>538</v>
      </c>
      <c r="C8" s="1" t="s">
        <v>608</v>
      </c>
      <c r="D8" s="1" t="s">
        <v>898</v>
      </c>
      <c r="E8" s="1" t="s">
        <v>327</v>
      </c>
      <c r="F8" s="1">
        <v>2</v>
      </c>
      <c r="G8" s="1">
        <v>4</v>
      </c>
      <c r="H8" s="2">
        <f>IF(G8="","",IFERROR(G8/MAX(1,COUNTIF('01_Конкуренты'!$B$4:$B$11,"?*")),""))</f>
        <v>0.5</v>
      </c>
      <c r="I8" s="1">
        <v>5</v>
      </c>
      <c r="J8" s="1" t="str">
        <f t="shared" si="0"/>
        <v>Не делать при дефиците ресурсов</v>
      </c>
      <c r="K8" s="1" t="s">
        <v>609</v>
      </c>
      <c r="L8" s="1" t="s">
        <v>603</v>
      </c>
      <c r="M8" s="1" t="s">
        <v>948</v>
      </c>
    </row>
    <row r="9" spans="1:13" ht="38.25">
      <c r="A9" s="1" t="s">
        <v>109</v>
      </c>
      <c r="B9" s="1" t="s">
        <v>540</v>
      </c>
      <c r="C9" s="1" t="s">
        <v>610</v>
      </c>
      <c r="D9" s="1" t="s">
        <v>899</v>
      </c>
      <c r="E9" s="1" t="s">
        <v>155</v>
      </c>
      <c r="F9" s="1">
        <v>3</v>
      </c>
      <c r="G9" s="1">
        <v>4</v>
      </c>
      <c r="H9" s="2">
        <f>IF(G9="","",IFERROR(G9/MAX(1,COUNTIF('01_Конкуренты'!$B$4:$B$11,"?*")),""))</f>
        <v>0.5</v>
      </c>
      <c r="I9" s="1">
        <v>5</v>
      </c>
      <c r="J9" s="1" t="str">
        <f t="shared" si="0"/>
        <v>Конкурентная норма с влиянием на выбор</v>
      </c>
      <c r="K9" s="1" t="s">
        <v>606</v>
      </c>
      <c r="L9" s="1" t="s">
        <v>603</v>
      </c>
      <c r="M9" s="1" t="s">
        <v>947</v>
      </c>
    </row>
    <row r="10" spans="1:13" ht="38.25">
      <c r="A10" s="1" t="s">
        <v>110</v>
      </c>
      <c r="B10" s="1" t="s">
        <v>582</v>
      </c>
      <c r="C10" s="1" t="s">
        <v>611</v>
      </c>
      <c r="D10" s="1" t="s">
        <v>900</v>
      </c>
      <c r="E10" s="1" t="s">
        <v>327</v>
      </c>
      <c r="F10" s="1">
        <v>2</v>
      </c>
      <c r="G10" s="1">
        <v>1</v>
      </c>
      <c r="H10" s="2">
        <f>IF(G10="","",IFERROR(G10/MAX(1,COUNTIF('01_Конкуренты'!$B$4:$B$11,"?*")),""))</f>
        <v>0.125</v>
      </c>
      <c r="I10" s="1">
        <v>5</v>
      </c>
      <c r="J10" s="1" t="str">
        <f t="shared" si="0"/>
        <v>Не делать при дефиците ресурсов</v>
      </c>
      <c r="K10" s="1" t="s">
        <v>609</v>
      </c>
      <c r="L10" s="1" t="s">
        <v>603</v>
      </c>
      <c r="M10" s="1" t="s">
        <v>948</v>
      </c>
    </row>
    <row r="11" spans="1:13" ht="51">
      <c r="A11" s="1" t="s">
        <v>111</v>
      </c>
      <c r="B11" s="1" t="s">
        <v>542</v>
      </c>
      <c r="C11" s="1" t="s">
        <v>612</v>
      </c>
      <c r="D11" s="1" t="s">
        <v>901</v>
      </c>
      <c r="E11" s="1" t="s">
        <v>178</v>
      </c>
      <c r="F11" s="1">
        <v>3</v>
      </c>
      <c r="G11" s="1">
        <v>4</v>
      </c>
      <c r="H11" s="2">
        <f>IF(G11="","",IFERROR(G11/MAX(1,COUNTIF('01_Конкуренты'!$B$4:$B$11,"?*")),""))</f>
        <v>0.5</v>
      </c>
      <c r="I11" s="1">
        <v>5</v>
      </c>
      <c r="J11" s="1" t="str">
        <f t="shared" si="0"/>
        <v>Переходит в ожидаемую норму</v>
      </c>
      <c r="K11" s="1" t="s">
        <v>613</v>
      </c>
      <c r="L11" s="1" t="s">
        <v>603</v>
      </c>
      <c r="M11" s="1" t="s">
        <v>949</v>
      </c>
    </row>
    <row r="12" spans="1:13" ht="38.25">
      <c r="A12" s="1" t="s">
        <v>112</v>
      </c>
      <c r="B12" s="1" t="s">
        <v>544</v>
      </c>
      <c r="C12" s="1" t="s">
        <v>614</v>
      </c>
      <c r="D12" s="1" t="s">
        <v>902</v>
      </c>
      <c r="E12" s="1" t="s">
        <v>178</v>
      </c>
      <c r="F12" s="1">
        <v>4</v>
      </c>
      <c r="G12" s="1">
        <v>5</v>
      </c>
      <c r="H12" s="2">
        <f>IF(G12="","",IFERROR(G12/MAX(1,COUNTIF('01_Конкуренты'!$B$4:$B$11,"?*")),""))</f>
        <v>0.625</v>
      </c>
      <c r="I12" s="1">
        <v>5</v>
      </c>
      <c r="J12" s="1" t="str">
        <f t="shared" si="0"/>
        <v>Переходит в ожидаемую норму</v>
      </c>
      <c r="K12" s="1" t="s">
        <v>613</v>
      </c>
      <c r="L12" s="1" t="s">
        <v>603</v>
      </c>
      <c r="M12" s="1" t="s">
        <v>949</v>
      </c>
    </row>
    <row r="13" spans="1:13" ht="38.25">
      <c r="A13" s="1" t="s">
        <v>113</v>
      </c>
      <c r="B13" s="1" t="s">
        <v>510</v>
      </c>
      <c r="C13" s="1" t="s">
        <v>615</v>
      </c>
      <c r="D13" s="1" t="s">
        <v>903</v>
      </c>
      <c r="E13" s="1" t="s">
        <v>155</v>
      </c>
      <c r="F13" s="1">
        <v>4</v>
      </c>
      <c r="G13" s="1">
        <v>8</v>
      </c>
      <c r="H13" s="2">
        <f>IF(G13="","",IFERROR(G13/MAX(1,COUNTIF('01_Конкуренты'!$B$4:$B$11,"?*")),""))</f>
        <v>1</v>
      </c>
      <c r="I13" s="1">
        <v>3.33</v>
      </c>
      <c r="J13" s="1" t="str">
        <f t="shared" si="0"/>
        <v>Конкурентная норма с влиянием на выбор</v>
      </c>
      <c r="K13" s="1" t="s">
        <v>606</v>
      </c>
      <c r="L13" s="1" t="s">
        <v>603</v>
      </c>
      <c r="M13" s="1" t="s">
        <v>947</v>
      </c>
    </row>
    <row r="14" spans="1:13" ht="51">
      <c r="A14" s="1" t="s">
        <v>114</v>
      </c>
      <c r="B14" s="1" t="s">
        <v>529</v>
      </c>
      <c r="C14" s="1" t="s">
        <v>616</v>
      </c>
      <c r="D14" s="1" t="s">
        <v>904</v>
      </c>
      <c r="E14" s="1" t="s">
        <v>178</v>
      </c>
      <c r="F14" s="1">
        <v>3</v>
      </c>
      <c r="G14" s="1">
        <v>5</v>
      </c>
      <c r="H14" s="2">
        <f>IF(G14="","",IFERROR(G14/MAX(1,COUNTIF('01_Конкуренты'!$B$4:$B$11,"?*")),""))</f>
        <v>0.625</v>
      </c>
      <c r="I14" s="1">
        <v>5</v>
      </c>
      <c r="J14" s="1" t="str">
        <f t="shared" si="0"/>
        <v>Переходит в ожидаемую норму</v>
      </c>
      <c r="K14" s="1" t="s">
        <v>613</v>
      </c>
      <c r="L14" s="1" t="s">
        <v>603</v>
      </c>
      <c r="M14" s="1" t="s">
        <v>949</v>
      </c>
    </row>
    <row r="15" spans="1:13" ht="38.25">
      <c r="A15" s="1" t="s">
        <v>115</v>
      </c>
      <c r="B15" s="1" t="s">
        <v>512</v>
      </c>
      <c r="C15" s="1" t="s">
        <v>617</v>
      </c>
      <c r="D15" s="1" t="s">
        <v>905</v>
      </c>
      <c r="E15" s="1" t="s">
        <v>178</v>
      </c>
      <c r="F15" s="1">
        <v>4</v>
      </c>
      <c r="G15" s="1">
        <v>3</v>
      </c>
      <c r="H15" s="2">
        <f>IF(G15="","",IFERROR(G15/MAX(1,COUNTIF('01_Конкуренты'!$B$4:$B$11,"?*")),""))</f>
        <v>0.375</v>
      </c>
      <c r="I15" s="1">
        <v>3.33</v>
      </c>
      <c r="J15" s="1" t="str">
        <f t="shared" si="0"/>
        <v>Зона дифференциации</v>
      </c>
      <c r="K15" s="1" t="s">
        <v>613</v>
      </c>
      <c r="L15" s="1" t="s">
        <v>603</v>
      </c>
      <c r="M15" s="1" t="s">
        <v>949</v>
      </c>
    </row>
    <row r="16" spans="1:13" ht="38.25">
      <c r="A16" s="1" t="s">
        <v>116</v>
      </c>
      <c r="B16" s="1" t="s">
        <v>514</v>
      </c>
      <c r="C16" s="1" t="s">
        <v>618</v>
      </c>
      <c r="D16" s="1" t="s">
        <v>906</v>
      </c>
      <c r="E16" s="1" t="s">
        <v>155</v>
      </c>
      <c r="F16" s="1">
        <v>3</v>
      </c>
      <c r="G16" s="1">
        <v>7</v>
      </c>
      <c r="H16" s="2">
        <f>IF(G16="","",IFERROR(G16/MAX(1,COUNTIF('01_Конкуренты'!$B$4:$B$11,"?*")),""))</f>
        <v>0.875</v>
      </c>
      <c r="I16" s="1">
        <v>3.33</v>
      </c>
      <c r="J16" s="1" t="str">
        <f t="shared" si="0"/>
        <v>Конкурентная норма с влиянием на выбор</v>
      </c>
      <c r="K16" s="1" t="s">
        <v>606</v>
      </c>
      <c r="L16" s="1" t="s">
        <v>603</v>
      </c>
      <c r="M16" s="1" t="s">
        <v>947</v>
      </c>
    </row>
    <row r="17" spans="1:13" ht="51">
      <c r="A17" s="1" t="s">
        <v>117</v>
      </c>
      <c r="B17" s="1" t="s">
        <v>546</v>
      </c>
      <c r="C17" s="1" t="s">
        <v>907</v>
      </c>
      <c r="D17" s="1" t="s">
        <v>908</v>
      </c>
      <c r="E17" s="1" t="s">
        <v>155</v>
      </c>
      <c r="F17" s="1">
        <v>3</v>
      </c>
      <c r="G17" s="1">
        <v>4</v>
      </c>
      <c r="H17" s="2">
        <f>IF(G17="","",IFERROR(G17/MAX(1,COUNTIF('01_Конкуренты'!$B$4:$B$11,"?*")),""))</f>
        <v>0.5</v>
      </c>
      <c r="I17" s="1">
        <v>3.33</v>
      </c>
      <c r="J17" s="1" t="str">
        <f t="shared" si="0"/>
        <v>Конкурентная норма с влиянием на выбор</v>
      </c>
      <c r="K17" s="1" t="s">
        <v>606</v>
      </c>
      <c r="L17" s="1" t="s">
        <v>603</v>
      </c>
      <c r="M17" s="1" t="s">
        <v>947</v>
      </c>
    </row>
    <row r="18" spans="1:13" ht="51">
      <c r="A18" s="1" t="s">
        <v>118</v>
      </c>
      <c r="B18" s="1" t="s">
        <v>548</v>
      </c>
      <c r="C18" s="1" t="s">
        <v>619</v>
      </c>
      <c r="D18" s="1" t="s">
        <v>909</v>
      </c>
      <c r="E18" s="1" t="s">
        <v>155</v>
      </c>
      <c r="F18" s="1">
        <v>3</v>
      </c>
      <c r="G18" s="1">
        <v>6</v>
      </c>
      <c r="H18" s="2">
        <f>IF(G18="","",IFERROR(G18/MAX(1,COUNTIF('01_Конкуренты'!$B$4:$B$11,"?*")),""))</f>
        <v>0.75</v>
      </c>
      <c r="I18" s="1">
        <v>3.33</v>
      </c>
      <c r="J18" s="1" t="str">
        <f t="shared" si="0"/>
        <v>Конкурентная норма с влиянием на выбор</v>
      </c>
      <c r="K18" s="1" t="s">
        <v>606</v>
      </c>
      <c r="L18" s="1" t="s">
        <v>603</v>
      </c>
      <c r="M18" s="1" t="s">
        <v>947</v>
      </c>
    </row>
    <row r="19" spans="1:13" ht="38.25">
      <c r="A19" s="1" t="s">
        <v>119</v>
      </c>
      <c r="B19" s="1" t="s">
        <v>550</v>
      </c>
      <c r="C19" s="1" t="s">
        <v>910</v>
      </c>
      <c r="D19" s="1" t="s">
        <v>911</v>
      </c>
      <c r="E19" s="1" t="s">
        <v>327</v>
      </c>
      <c r="F19" s="1">
        <v>2</v>
      </c>
      <c r="G19" s="1">
        <v>5</v>
      </c>
      <c r="H19" s="2">
        <f>IF(G19="","",IFERROR(G19/MAX(1,COUNTIF('01_Конкуренты'!$B$4:$B$11,"?*")),""))</f>
        <v>0.625</v>
      </c>
      <c r="I19" s="1">
        <v>5</v>
      </c>
      <c r="J19" s="1" t="str">
        <f t="shared" si="0"/>
        <v>Не делать при дефиците ресурсов</v>
      </c>
      <c r="K19" s="1" t="s">
        <v>609</v>
      </c>
      <c r="L19" s="1" t="s">
        <v>603</v>
      </c>
      <c r="M19" s="1" t="s">
        <v>948</v>
      </c>
    </row>
    <row r="20" spans="1:13" ht="38.25">
      <c r="A20" s="1" t="s">
        <v>120</v>
      </c>
      <c r="B20" s="1" t="s">
        <v>552</v>
      </c>
      <c r="C20" s="1" t="s">
        <v>620</v>
      </c>
      <c r="D20" s="1" t="s">
        <v>912</v>
      </c>
      <c r="E20" s="1" t="s">
        <v>159</v>
      </c>
      <c r="F20" s="1">
        <v>3</v>
      </c>
      <c r="G20" s="1">
        <v>5</v>
      </c>
      <c r="H20" s="2">
        <f>IF(G20="","",IFERROR(G20/MAX(1,COUNTIF('01_Конкуренты'!$B$4:$B$11,"?*")),""))</f>
        <v>0.625</v>
      </c>
      <c r="I20" s="1">
        <v>3.33</v>
      </c>
      <c r="J20" s="1" t="str">
        <f t="shared" si="0"/>
        <v>Минимальный рыночный стандарт</v>
      </c>
      <c r="K20" s="1" t="s">
        <v>602</v>
      </c>
      <c r="L20" s="1" t="s">
        <v>603</v>
      </c>
      <c r="M20" s="1" t="s">
        <v>946</v>
      </c>
    </row>
    <row r="21" spans="1:13" ht="51">
      <c r="A21" s="1" t="s">
        <v>121</v>
      </c>
      <c r="B21" s="1" t="s">
        <v>587</v>
      </c>
      <c r="C21" s="1" t="s">
        <v>621</v>
      </c>
      <c r="D21" s="1" t="s">
        <v>913</v>
      </c>
      <c r="E21" s="1" t="s">
        <v>155</v>
      </c>
      <c r="F21" s="1">
        <v>4</v>
      </c>
      <c r="G21" s="1">
        <v>3</v>
      </c>
      <c r="H21" s="2">
        <f>IF(G21="","",IFERROR(G21/MAX(1,COUNTIF('01_Конкуренты'!$B$4:$B$11,"?*")),""))</f>
        <v>0.375</v>
      </c>
      <c r="I21" s="1">
        <v>5</v>
      </c>
      <c r="J21" s="1" t="str">
        <f t="shared" si="0"/>
        <v>Зона усиления ценности</v>
      </c>
      <c r="K21" s="1" t="s">
        <v>606</v>
      </c>
      <c r="L21" s="1" t="s">
        <v>603</v>
      </c>
      <c r="M21" s="1" t="s">
        <v>947</v>
      </c>
    </row>
    <row r="22" spans="1:13" ht="51">
      <c r="A22" s="1" t="s">
        <v>122</v>
      </c>
      <c r="B22" s="1" t="s">
        <v>554</v>
      </c>
      <c r="C22" s="1" t="s">
        <v>622</v>
      </c>
      <c r="D22" s="1" t="s">
        <v>914</v>
      </c>
      <c r="E22" s="1" t="s">
        <v>155</v>
      </c>
      <c r="F22" s="1">
        <v>4</v>
      </c>
      <c r="G22" s="1">
        <v>6</v>
      </c>
      <c r="H22" s="2">
        <f>IF(G22="","",IFERROR(G22/MAX(1,COUNTIF('01_Конкуренты'!$B$4:$B$11,"?*")),""))</f>
        <v>0.75</v>
      </c>
      <c r="I22" s="1">
        <v>5</v>
      </c>
      <c r="J22" s="1" t="str">
        <f t="shared" si="0"/>
        <v>Конкурентная норма с влиянием на выбор</v>
      </c>
      <c r="K22" s="1" t="s">
        <v>606</v>
      </c>
      <c r="L22" s="1" t="s">
        <v>603</v>
      </c>
      <c r="M22" s="1" t="s">
        <v>947</v>
      </c>
    </row>
    <row r="23" spans="1:13" ht="51">
      <c r="A23" s="1" t="s">
        <v>123</v>
      </c>
      <c r="B23" s="1" t="s">
        <v>516</v>
      </c>
      <c r="C23" s="1" t="s">
        <v>623</v>
      </c>
      <c r="D23" s="1" t="s">
        <v>915</v>
      </c>
      <c r="E23" s="1" t="s">
        <v>159</v>
      </c>
      <c r="F23" s="1">
        <v>5</v>
      </c>
      <c r="G23" s="1">
        <v>8</v>
      </c>
      <c r="H23" s="2">
        <f>IF(G23="","",IFERROR(G23/MAX(1,COUNTIF('01_Конкуренты'!$B$4:$B$11,"?*")),""))</f>
        <v>1</v>
      </c>
      <c r="I23" s="1">
        <v>5</v>
      </c>
      <c r="J23" s="1" t="str">
        <f t="shared" si="0"/>
        <v>Минимальный рыночный стандарт</v>
      </c>
      <c r="K23" s="1" t="s">
        <v>602</v>
      </c>
      <c r="L23" s="1" t="s">
        <v>603</v>
      </c>
      <c r="M23" s="1" t="s">
        <v>946</v>
      </c>
    </row>
    <row r="24" spans="1:13" ht="51">
      <c r="A24" s="1" t="s">
        <v>124</v>
      </c>
      <c r="B24" s="1" t="s">
        <v>556</v>
      </c>
      <c r="C24" s="1" t="s">
        <v>624</v>
      </c>
      <c r="D24" s="1" t="s">
        <v>916</v>
      </c>
      <c r="E24" s="1" t="s">
        <v>155</v>
      </c>
      <c r="F24" s="1">
        <v>3</v>
      </c>
      <c r="G24" s="1">
        <v>5</v>
      </c>
      <c r="H24" s="2">
        <f>IF(G24="","",IFERROR(G24/MAX(1,COUNTIF('01_Конкуренты'!$B$4:$B$11,"?*")),""))</f>
        <v>0.625</v>
      </c>
      <c r="I24" s="1">
        <v>5</v>
      </c>
      <c r="J24" s="1" t="str">
        <f t="shared" si="0"/>
        <v>Конкурентная норма с влиянием на выбор</v>
      </c>
      <c r="K24" s="1" t="s">
        <v>606</v>
      </c>
      <c r="L24" s="1" t="s">
        <v>603</v>
      </c>
      <c r="M24" s="1" t="s">
        <v>947</v>
      </c>
    </row>
    <row r="25" spans="1:13" ht="51">
      <c r="A25" s="1" t="s">
        <v>125</v>
      </c>
      <c r="B25" s="1" t="s">
        <v>518</v>
      </c>
      <c r="C25" s="1" t="s">
        <v>625</v>
      </c>
      <c r="D25" s="1" t="s">
        <v>917</v>
      </c>
      <c r="E25" s="1" t="s">
        <v>159</v>
      </c>
      <c r="F25" s="1">
        <v>4</v>
      </c>
      <c r="G25" s="1">
        <v>6</v>
      </c>
      <c r="H25" s="2">
        <f>IF(G25="","",IFERROR(G25/MAX(1,COUNTIF('01_Конкуренты'!$B$4:$B$11,"?*")),""))</f>
        <v>0.75</v>
      </c>
      <c r="I25" s="1">
        <v>5</v>
      </c>
      <c r="J25" s="1" t="str">
        <f t="shared" si="0"/>
        <v>Минимальный рыночный стандарт</v>
      </c>
      <c r="K25" s="1" t="s">
        <v>602</v>
      </c>
      <c r="L25" s="1" t="s">
        <v>603</v>
      </c>
      <c r="M25" s="1" t="s">
        <v>946</v>
      </c>
    </row>
    <row r="26" spans="1:13" ht="38.25">
      <c r="A26" s="1" t="s">
        <v>126</v>
      </c>
      <c r="B26" s="1" t="s">
        <v>520</v>
      </c>
      <c r="C26" s="1" t="s">
        <v>626</v>
      </c>
      <c r="D26" s="1" t="s">
        <v>918</v>
      </c>
      <c r="E26" s="1" t="s">
        <v>159</v>
      </c>
      <c r="F26" s="1">
        <v>5</v>
      </c>
      <c r="G26" s="1">
        <v>4</v>
      </c>
      <c r="H26" s="2">
        <f>IF(G26="","",IFERROR(G26/MAX(1,COUNTIF('01_Конкуренты'!$B$4:$B$11,"?*")),""))</f>
        <v>0.5</v>
      </c>
      <c r="I26" s="1">
        <v>5</v>
      </c>
      <c r="J26" s="1" t="str">
        <f t="shared" si="0"/>
        <v>Потенциальный обязательный разрыв</v>
      </c>
      <c r="K26" s="1" t="s">
        <v>602</v>
      </c>
      <c r="L26" s="1" t="s">
        <v>603</v>
      </c>
      <c r="M26" s="1" t="s">
        <v>946</v>
      </c>
    </row>
    <row r="27" spans="1:13" ht="38.25">
      <c r="A27" s="1" t="s">
        <v>127</v>
      </c>
      <c r="B27" s="1" t="s">
        <v>570</v>
      </c>
      <c r="C27" s="1" t="s">
        <v>627</v>
      </c>
      <c r="D27" s="1" t="s">
        <v>919</v>
      </c>
      <c r="E27" s="1" t="s">
        <v>155</v>
      </c>
      <c r="F27" s="1">
        <v>4</v>
      </c>
      <c r="G27" s="1">
        <v>3</v>
      </c>
      <c r="H27" s="2">
        <f>IF(G27="","",IFERROR(G27/MAX(1,COUNTIF('01_Конкуренты'!$B$4:$B$11,"?*")),""))</f>
        <v>0.375</v>
      </c>
      <c r="I27" s="1">
        <v>5</v>
      </c>
      <c r="J27" s="1" t="str">
        <f t="shared" si="0"/>
        <v>Зона усиления ценности</v>
      </c>
      <c r="K27" s="1" t="s">
        <v>606</v>
      </c>
      <c r="L27" s="1" t="s">
        <v>603</v>
      </c>
      <c r="M27" s="1" t="s">
        <v>947</v>
      </c>
    </row>
    <row r="28" spans="1:13" ht="51">
      <c r="A28" s="1" t="s">
        <v>128</v>
      </c>
      <c r="B28" s="1" t="s">
        <v>522</v>
      </c>
      <c r="C28" s="1" t="s">
        <v>628</v>
      </c>
      <c r="D28" s="1" t="s">
        <v>920</v>
      </c>
      <c r="E28" s="1" t="s">
        <v>155</v>
      </c>
      <c r="F28" s="1">
        <v>4</v>
      </c>
      <c r="G28" s="1">
        <v>6</v>
      </c>
      <c r="H28" s="2">
        <f>IF(G28="","",IFERROR(G28/MAX(1,COUNTIF('01_Конкуренты'!$B$4:$B$11,"?*")),""))</f>
        <v>0.75</v>
      </c>
      <c r="I28" s="1">
        <v>5</v>
      </c>
      <c r="J28" s="1" t="str">
        <f t="shared" si="0"/>
        <v>Конкурентная норма с влиянием на выбор</v>
      </c>
      <c r="K28" s="1" t="s">
        <v>606</v>
      </c>
      <c r="L28" s="1" t="s">
        <v>603</v>
      </c>
      <c r="M28" s="1" t="s">
        <v>947</v>
      </c>
    </row>
    <row r="29" spans="1:13" ht="51">
      <c r="A29" s="1" t="s">
        <v>129</v>
      </c>
      <c r="B29" s="1" t="s">
        <v>892</v>
      </c>
      <c r="C29" s="1" t="s">
        <v>629</v>
      </c>
      <c r="D29" s="1" t="s">
        <v>921</v>
      </c>
      <c r="E29" s="1" t="s">
        <v>178</v>
      </c>
      <c r="F29" s="1">
        <v>3</v>
      </c>
      <c r="G29" s="1">
        <v>4</v>
      </c>
      <c r="H29" s="2">
        <f>IF(G29="","",IFERROR(G29/MAX(1,COUNTIF('01_Конкуренты'!$B$4:$B$11,"?*")),""))</f>
        <v>0.5</v>
      </c>
      <c r="I29" s="1">
        <v>3.33</v>
      </c>
      <c r="J29" s="1" t="str">
        <f t="shared" si="0"/>
        <v>Переходит в ожидаемую норму</v>
      </c>
      <c r="K29" s="1" t="s">
        <v>613</v>
      </c>
      <c r="L29" s="1" t="s">
        <v>603</v>
      </c>
      <c r="M29" s="1" t="s">
        <v>949</v>
      </c>
    </row>
    <row r="30" spans="1:13" ht="38.25">
      <c r="A30" s="1" t="s">
        <v>130</v>
      </c>
      <c r="B30" s="1" t="s">
        <v>524</v>
      </c>
      <c r="C30" s="1" t="s">
        <v>630</v>
      </c>
      <c r="D30" s="1" t="s">
        <v>922</v>
      </c>
      <c r="E30" s="1" t="s">
        <v>327</v>
      </c>
      <c r="F30" s="1">
        <v>2</v>
      </c>
      <c r="G30" s="1">
        <v>3</v>
      </c>
      <c r="H30" s="2">
        <f>IF(G30="","",IFERROR(G30/MAX(1,COUNTIF('01_Конкуренты'!$B$4:$B$11,"?*")),""))</f>
        <v>0.375</v>
      </c>
      <c r="I30" s="1">
        <v>3.33</v>
      </c>
      <c r="J30" s="1" t="str">
        <f t="shared" si="0"/>
        <v>Не делать при дефиците ресурсов</v>
      </c>
      <c r="K30" s="1" t="s">
        <v>609</v>
      </c>
      <c r="L30" s="1" t="s">
        <v>603</v>
      </c>
      <c r="M30" s="1" t="s">
        <v>948</v>
      </c>
    </row>
    <row r="31" spans="1:13" ht="38.25">
      <c r="A31" s="1" t="s">
        <v>131</v>
      </c>
      <c r="B31" s="1" t="s">
        <v>572</v>
      </c>
      <c r="C31" s="1" t="s">
        <v>631</v>
      </c>
      <c r="D31" s="1" t="s">
        <v>923</v>
      </c>
      <c r="E31" s="1" t="s">
        <v>178</v>
      </c>
      <c r="F31" s="1">
        <v>4</v>
      </c>
      <c r="G31" s="1">
        <v>1</v>
      </c>
      <c r="H31" s="2">
        <f>IF(G31="","",IFERROR(G31/MAX(1,COUNTIF('01_Конкуренты'!$B$4:$B$11,"?*")),""))</f>
        <v>0.125</v>
      </c>
      <c r="I31" s="1">
        <v>3.33</v>
      </c>
      <c r="J31" s="1" t="str">
        <f t="shared" si="0"/>
        <v>Зона дифференциации</v>
      </c>
      <c r="K31" s="1" t="s">
        <v>613</v>
      </c>
      <c r="L31" s="1" t="s">
        <v>603</v>
      </c>
      <c r="M31" s="1" t="s">
        <v>949</v>
      </c>
    </row>
    <row r="32" spans="1:13" ht="51">
      <c r="A32" s="1" t="s">
        <v>132</v>
      </c>
      <c r="B32" s="1" t="s">
        <v>558</v>
      </c>
      <c r="C32" s="1" t="s">
        <v>632</v>
      </c>
      <c r="D32" s="1" t="s">
        <v>924</v>
      </c>
      <c r="E32" s="1" t="s">
        <v>178</v>
      </c>
      <c r="F32" s="1">
        <v>3</v>
      </c>
      <c r="G32" s="1">
        <v>4</v>
      </c>
      <c r="H32" s="2">
        <f>IF(G32="","",IFERROR(G32/MAX(1,COUNTIF('01_Конкуренты'!$B$4:$B$11,"?*")),""))</f>
        <v>0.5</v>
      </c>
      <c r="I32" s="1">
        <v>3.33</v>
      </c>
      <c r="J32" s="1" t="str">
        <f t="shared" si="0"/>
        <v>Переходит в ожидаемую норму</v>
      </c>
      <c r="K32" s="1" t="s">
        <v>613</v>
      </c>
      <c r="L32" s="1" t="s">
        <v>603</v>
      </c>
      <c r="M32" s="1" t="s">
        <v>949</v>
      </c>
    </row>
    <row r="33" spans="1:13" ht="25.5">
      <c r="A33" s="1" t="s">
        <v>133</v>
      </c>
      <c r="B33" s="1" t="s">
        <v>633</v>
      </c>
      <c r="C33" s="1" t="s">
        <v>634</v>
      </c>
      <c r="D33" s="1" t="s">
        <v>635</v>
      </c>
      <c r="E33" s="1" t="s">
        <v>178</v>
      </c>
      <c r="F33" s="1">
        <v>5</v>
      </c>
      <c r="G33" s="1">
        <v>1</v>
      </c>
      <c r="H33" s="2">
        <f>IF(G33="","",IFERROR(G33/MAX(1,COUNTIF('01_Конкуренты'!$B$4:$B$11,"?*")),""))</f>
        <v>0.125</v>
      </c>
      <c r="I33" s="1" t="s">
        <v>951</v>
      </c>
      <c r="J33" s="1" t="str">
        <f t="shared" si="0"/>
        <v>Зона дифференциации</v>
      </c>
      <c r="K33" s="1" t="s">
        <v>636</v>
      </c>
      <c r="L33" s="1" t="s">
        <v>603</v>
      </c>
      <c r="M33" s="1" t="s">
        <v>949</v>
      </c>
    </row>
    <row r="34" spans="1:13" ht="25.5">
      <c r="A34" s="1" t="s">
        <v>134</v>
      </c>
      <c r="B34" s="1" t="s">
        <v>637</v>
      </c>
      <c r="C34" s="1" t="s">
        <v>638</v>
      </c>
      <c r="D34" s="1" t="s">
        <v>639</v>
      </c>
      <c r="E34" s="1" t="s">
        <v>178</v>
      </c>
      <c r="F34" s="1">
        <v>5</v>
      </c>
      <c r="G34" s="1">
        <v>0</v>
      </c>
      <c r="H34" s="2">
        <f>IF(G34="","",IFERROR(G34/MAX(1,COUNTIF('01_Конкуренты'!$B$4:$B$11,"?*")),""))</f>
        <v>0</v>
      </c>
      <c r="I34" s="1" t="s">
        <v>951</v>
      </c>
      <c r="J34" s="1" t="str">
        <f t="shared" si="0"/>
        <v>Зона дифференциации</v>
      </c>
      <c r="K34" s="1" t="s">
        <v>640</v>
      </c>
      <c r="L34" s="1" t="s">
        <v>603</v>
      </c>
      <c r="M34" s="1" t="s">
        <v>949</v>
      </c>
    </row>
    <row r="35" spans="1:13" ht="25.5">
      <c r="A35" s="1" t="s">
        <v>135</v>
      </c>
      <c r="B35" s="1" t="s">
        <v>641</v>
      </c>
      <c r="C35" s="1" t="s">
        <v>642</v>
      </c>
      <c r="D35" s="1" t="s">
        <v>823</v>
      </c>
      <c r="E35" s="1" t="s">
        <v>332</v>
      </c>
      <c r="F35" s="1">
        <v>4</v>
      </c>
      <c r="G35" s="1" t="s">
        <v>951</v>
      </c>
      <c r="H35" s="2" t="str">
        <f>IF(G35="","",IFERROR(G35/MAX(1,COUNTIF('01_Конкуренты'!$B$4:$B$11,"?*")),""))</f>
        <v/>
      </c>
      <c r="I35" s="1" t="s">
        <v>951</v>
      </c>
      <c r="J35" s="1" t="str">
        <f t="shared" si="0"/>
        <v>Требует проверки</v>
      </c>
      <c r="K35" s="1" t="s">
        <v>824</v>
      </c>
      <c r="L35" s="1" t="s">
        <v>603</v>
      </c>
      <c r="M35" s="1" t="s">
        <v>950</v>
      </c>
    </row>
    <row r="36" spans="1:13" ht="25.5">
      <c r="A36" s="1" t="s">
        <v>136</v>
      </c>
      <c r="B36" s="1" t="s">
        <v>643</v>
      </c>
      <c r="C36" s="1" t="s">
        <v>644</v>
      </c>
      <c r="D36" s="1" t="s">
        <v>825</v>
      </c>
      <c r="E36" s="1" t="s">
        <v>332</v>
      </c>
      <c r="F36" s="1">
        <v>4</v>
      </c>
      <c r="G36" s="1" t="s">
        <v>951</v>
      </c>
      <c r="H36" s="2" t="str">
        <f>IF(G36="","",IFERROR(G36/MAX(1,COUNTIF('01_Конкуренты'!$B$4:$B$11,"?*")),""))</f>
        <v/>
      </c>
      <c r="I36" s="1" t="s">
        <v>951</v>
      </c>
      <c r="J36" s="1" t="str">
        <f t="shared" ref="J36" si="1">IF(B36="","",IF(E36="Обязательное",IF(H36&gt;=0.6,"Минимальный рыночный стандарт","Потенциальный обязательный разрыв"),IF(E36="Линейное",IF(H36&gt;=0.5,"Конкурентная норма с влиянием на выбор","Зона усиления ценности"),IF(E36="Привлекательное",IF(H36&lt;0.5,"Зона дифференциации","Переходит в ожидаемую норму"),IF(E36="Безразличное","Не делать при дефиците ресурсов",IF(E36="Обратное","Исключить или проверить риск отторжения","Требует проверки"))))))</f>
        <v>Требует проверки</v>
      </c>
      <c r="K36" s="1" t="s">
        <v>824</v>
      </c>
      <c r="L36" s="1" t="s">
        <v>603</v>
      </c>
      <c r="M36" s="1" t="s">
        <v>950</v>
      </c>
    </row>
  </sheetData>
  <mergeCells count="2">
    <mergeCell ref="A1:M1"/>
    <mergeCell ref="A2:M2"/>
  </mergeCells>
  <conditionalFormatting sqref="H4:H36">
    <cfRule type="dataBar" priority="4">
      <dataBar>
        <cfvo type="min"/>
        <cfvo type="max"/>
        <color rgb="FF60A5FA"/>
      </dataBar>
    </cfRule>
    <cfRule type="dataBar" priority="5">
      <dataBar>
        <cfvo type="min"/>
        <cfvo type="max"/>
        <color rgb="FF60A5FA"/>
      </dataBar>
      <extLst>
        <ext xmlns:x14="http://schemas.microsoft.com/office/spreadsheetml/2009/9/main" uri="{B025F937-C7B1-47D3-B67F-A62EFF666E3E}">
          <x14:id>{5F47C1BD-5D68-D06A-0567-7D3093CE3390}</x14:id>
        </ext>
      </extLst>
    </cfRule>
  </conditionalFormatting>
  <dataValidations count="3">
    <dataValidation type="list" sqref="E4:E36" xr:uid="{00000000-0002-0000-0400-000000000000}">
      <formula1>"Обязательное,Линейное,Привлекательное,Безразличное,Обратное,Неясное"</formula1>
    </dataValidation>
    <dataValidation type="list" sqref="F4:F36" xr:uid="{00000000-0002-0000-0400-000001000000}">
      <formula1>"1,2,3,4,5"</formula1>
    </dataValidation>
    <dataValidation type="list" sqref="I4:I36" xr:uid="{00000000-0002-0000-0400-000002000000}">
      <formula1>"0,1,2,3,4,5"</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F47C1BD-5D68-D06A-0567-7D3093CE3390}">
            <x14:dataBar>
              <x14:cfvo type="min"/>
              <x14:cfvo type="max"/>
              <x14:negativeFillColor auto="1"/>
              <x14:axisColor auto="1"/>
            </x14:dataBar>
          </x14:cfRule>
          <xm:sqref>H4:H36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5"/>
  <sheetViews>
    <sheetView workbookViewId="0">
      <selection activeCell="C21" sqref="C21"/>
    </sheetView>
  </sheetViews>
  <sheetFormatPr defaultRowHeight="14.25"/>
  <cols>
    <col min="1" max="1" width="35.125" customWidth="1"/>
    <col min="2" max="3" width="55.625" customWidth="1"/>
    <col min="4" max="4" width="46.625" customWidth="1"/>
    <col min="5" max="5" width="24.625" customWidth="1"/>
    <col min="6" max="6" width="28.625" customWidth="1"/>
    <col min="7" max="7" width="26.625" customWidth="1"/>
    <col min="8" max="8" width="55.625" customWidth="1"/>
    <col min="9" max="9" width="37.625" customWidth="1"/>
    <col min="10" max="10" width="26" customWidth="1"/>
    <col min="11" max="11" width="22" customWidth="1"/>
    <col min="12" max="12" width="55.625" customWidth="1"/>
  </cols>
  <sheetData>
    <row r="1" spans="1:12" ht="20.25">
      <c r="A1" s="22" t="s">
        <v>137</v>
      </c>
      <c r="B1" s="22"/>
      <c r="C1" s="22"/>
      <c r="D1" s="22"/>
      <c r="E1" s="22"/>
      <c r="F1" s="22"/>
      <c r="G1" s="22"/>
      <c r="H1" s="22"/>
      <c r="I1" s="22"/>
      <c r="J1" s="22"/>
      <c r="K1" s="22"/>
      <c r="L1" s="22"/>
    </row>
    <row r="2" spans="1:12" ht="15" customHeight="1">
      <c r="A2" s="23" t="s">
        <v>826</v>
      </c>
      <c r="B2" s="23"/>
      <c r="C2" s="23"/>
      <c r="D2" s="23"/>
      <c r="E2" s="23"/>
      <c r="F2" s="23"/>
      <c r="G2" s="23"/>
      <c r="H2" s="23"/>
      <c r="I2" s="23"/>
      <c r="J2" s="23"/>
      <c r="K2" s="23"/>
      <c r="L2" s="23"/>
    </row>
    <row r="3" spans="1:12">
      <c r="A3" s="9" t="s">
        <v>138</v>
      </c>
      <c r="B3" s="9" t="s">
        <v>139</v>
      </c>
      <c r="C3" s="9" t="s">
        <v>140</v>
      </c>
      <c r="D3" s="9" t="s">
        <v>141</v>
      </c>
      <c r="E3" s="9" t="s">
        <v>142</v>
      </c>
      <c r="F3" s="9" t="s">
        <v>143</v>
      </c>
      <c r="G3" s="9" t="s">
        <v>144</v>
      </c>
      <c r="H3" s="9" t="s">
        <v>145</v>
      </c>
      <c r="I3" s="9" t="s">
        <v>146</v>
      </c>
      <c r="J3" s="9" t="s">
        <v>147</v>
      </c>
      <c r="K3" s="9" t="s">
        <v>148</v>
      </c>
      <c r="L3" s="9" t="s">
        <v>58</v>
      </c>
    </row>
    <row r="4" spans="1:12" s="19" customFormat="1" ht="51">
      <c r="A4" s="17" t="s">
        <v>149</v>
      </c>
      <c r="B4" s="17" t="s">
        <v>150</v>
      </c>
      <c r="C4" s="17" t="s">
        <v>827</v>
      </c>
      <c r="D4" s="17" t="s">
        <v>645</v>
      </c>
      <c r="E4" s="17" t="s">
        <v>151</v>
      </c>
      <c r="F4" s="17" t="s">
        <v>152</v>
      </c>
      <c r="G4" s="17" t="s">
        <v>646</v>
      </c>
      <c r="H4" s="17" t="s">
        <v>647</v>
      </c>
      <c r="I4" s="17" t="s">
        <v>648</v>
      </c>
      <c r="J4" s="17" t="s">
        <v>405</v>
      </c>
      <c r="K4" s="17" t="s">
        <v>649</v>
      </c>
      <c r="L4" s="17" t="s">
        <v>650</v>
      </c>
    </row>
    <row r="5" spans="1:12" s="19" customFormat="1" ht="51">
      <c r="A5" s="17" t="s">
        <v>153</v>
      </c>
      <c r="B5" s="17" t="s">
        <v>154</v>
      </c>
      <c r="C5" s="17" t="s">
        <v>828</v>
      </c>
      <c r="D5" s="17" t="s">
        <v>651</v>
      </c>
      <c r="E5" s="17" t="s">
        <v>151</v>
      </c>
      <c r="F5" s="17" t="s">
        <v>155</v>
      </c>
      <c r="G5" s="17" t="s">
        <v>646</v>
      </c>
      <c r="H5" s="17" t="s">
        <v>652</v>
      </c>
      <c r="I5" s="17" t="s">
        <v>653</v>
      </c>
      <c r="J5" s="17" t="s">
        <v>405</v>
      </c>
      <c r="K5" s="17" t="s">
        <v>649</v>
      </c>
      <c r="L5" s="17" t="s">
        <v>654</v>
      </c>
    </row>
    <row r="6" spans="1:12" s="19" customFormat="1" ht="38.25">
      <c r="A6" s="17" t="s">
        <v>156</v>
      </c>
      <c r="B6" s="17" t="s">
        <v>157</v>
      </c>
      <c r="C6" s="17" t="s">
        <v>829</v>
      </c>
      <c r="D6" s="17" t="s">
        <v>655</v>
      </c>
      <c r="E6" s="17" t="s">
        <v>158</v>
      </c>
      <c r="F6" s="17" t="s">
        <v>159</v>
      </c>
      <c r="G6" s="17" t="s">
        <v>646</v>
      </c>
      <c r="H6" s="17" t="s">
        <v>656</v>
      </c>
      <c r="I6" s="17" t="s">
        <v>657</v>
      </c>
      <c r="J6" s="17" t="s">
        <v>405</v>
      </c>
      <c r="K6" s="17" t="s">
        <v>649</v>
      </c>
      <c r="L6" s="17" t="s">
        <v>658</v>
      </c>
    </row>
    <row r="7" spans="1:12" s="19" customFormat="1" ht="25.5">
      <c r="A7" s="17" t="s">
        <v>160</v>
      </c>
      <c r="B7" s="17" t="s">
        <v>161</v>
      </c>
      <c r="C7" s="17" t="s">
        <v>830</v>
      </c>
      <c r="D7" s="17" t="s">
        <v>659</v>
      </c>
      <c r="E7" s="17" t="s">
        <v>162</v>
      </c>
      <c r="F7" s="17" t="s">
        <v>159</v>
      </c>
      <c r="G7" s="17" t="s">
        <v>646</v>
      </c>
      <c r="H7" s="17" t="s">
        <v>660</v>
      </c>
      <c r="I7" s="17" t="s">
        <v>661</v>
      </c>
      <c r="J7" s="17" t="s">
        <v>383</v>
      </c>
      <c r="K7" s="17" t="s">
        <v>662</v>
      </c>
      <c r="L7" s="17" t="s">
        <v>663</v>
      </c>
    </row>
    <row r="8" spans="1:12" s="19" customFormat="1" ht="25.5">
      <c r="A8" s="17" t="s">
        <v>163</v>
      </c>
      <c r="B8" s="17" t="s">
        <v>164</v>
      </c>
      <c r="C8" s="17" t="s">
        <v>831</v>
      </c>
      <c r="D8" s="17" t="s">
        <v>664</v>
      </c>
      <c r="E8" s="17" t="s">
        <v>162</v>
      </c>
      <c r="F8" s="17" t="s">
        <v>152</v>
      </c>
      <c r="G8" s="17" t="s">
        <v>646</v>
      </c>
      <c r="H8" s="17" t="s">
        <v>665</v>
      </c>
      <c r="I8" s="17" t="s">
        <v>666</v>
      </c>
      <c r="J8" s="17" t="s">
        <v>405</v>
      </c>
      <c r="K8" s="17" t="s">
        <v>662</v>
      </c>
      <c r="L8" s="17" t="s">
        <v>667</v>
      </c>
    </row>
    <row r="9" spans="1:12" s="19" customFormat="1" ht="38.25">
      <c r="A9" s="17" t="s">
        <v>165</v>
      </c>
      <c r="B9" s="17" t="s">
        <v>166</v>
      </c>
      <c r="C9" s="17" t="s">
        <v>832</v>
      </c>
      <c r="D9" s="17" t="s">
        <v>668</v>
      </c>
      <c r="E9" s="17" t="s">
        <v>162</v>
      </c>
      <c r="F9" s="17" t="s">
        <v>159</v>
      </c>
      <c r="G9" s="17" t="s">
        <v>646</v>
      </c>
      <c r="H9" s="17" t="s">
        <v>796</v>
      </c>
      <c r="I9" s="17" t="s">
        <v>669</v>
      </c>
      <c r="J9" s="17" t="s">
        <v>383</v>
      </c>
      <c r="K9" s="17" t="s">
        <v>662</v>
      </c>
      <c r="L9" s="17" t="s">
        <v>797</v>
      </c>
    </row>
    <row r="10" spans="1:12" s="19" customFormat="1" ht="25.5">
      <c r="A10" s="17" t="s">
        <v>167</v>
      </c>
      <c r="B10" s="17" t="s">
        <v>168</v>
      </c>
      <c r="C10" s="17" t="s">
        <v>833</v>
      </c>
      <c r="D10" s="17" t="s">
        <v>670</v>
      </c>
      <c r="E10" s="17" t="s">
        <v>162</v>
      </c>
      <c r="F10" s="17" t="s">
        <v>155</v>
      </c>
      <c r="G10" s="17" t="s">
        <v>646</v>
      </c>
      <c r="H10" s="17" t="s">
        <v>671</v>
      </c>
      <c r="I10" s="17" t="s">
        <v>672</v>
      </c>
      <c r="J10" s="17" t="s">
        <v>383</v>
      </c>
      <c r="K10" s="17" t="s">
        <v>662</v>
      </c>
      <c r="L10" s="17" t="s">
        <v>673</v>
      </c>
    </row>
    <row r="11" spans="1:12" s="19" customFormat="1" ht="25.5">
      <c r="A11" s="17" t="s">
        <v>169</v>
      </c>
      <c r="B11" s="17" t="s">
        <v>170</v>
      </c>
      <c r="C11" s="17" t="s">
        <v>834</v>
      </c>
      <c r="D11" s="17" t="s">
        <v>674</v>
      </c>
      <c r="E11" s="17" t="s">
        <v>171</v>
      </c>
      <c r="F11" s="17" t="s">
        <v>172</v>
      </c>
      <c r="G11" s="17" t="s">
        <v>675</v>
      </c>
      <c r="H11" s="17" t="s">
        <v>676</v>
      </c>
      <c r="I11" s="17" t="s">
        <v>677</v>
      </c>
      <c r="J11" s="17" t="s">
        <v>383</v>
      </c>
      <c r="K11" s="17" t="s">
        <v>675</v>
      </c>
      <c r="L11" s="17" t="s">
        <v>678</v>
      </c>
    </row>
    <row r="12" spans="1:12" s="19" customFormat="1" ht="38.25">
      <c r="A12" s="17" t="s">
        <v>173</v>
      </c>
      <c r="B12" s="17" t="s">
        <v>174</v>
      </c>
      <c r="C12" s="17" t="s">
        <v>835</v>
      </c>
      <c r="D12" s="17" t="s">
        <v>679</v>
      </c>
      <c r="E12" s="17" t="s">
        <v>171</v>
      </c>
      <c r="F12" s="17" t="s">
        <v>155</v>
      </c>
      <c r="G12" s="17" t="s">
        <v>646</v>
      </c>
      <c r="H12" s="17" t="s">
        <v>680</v>
      </c>
      <c r="I12" s="17" t="s">
        <v>681</v>
      </c>
      <c r="J12" s="17" t="s">
        <v>383</v>
      </c>
      <c r="K12" s="17" t="s">
        <v>662</v>
      </c>
      <c r="L12" s="17" t="s">
        <v>682</v>
      </c>
    </row>
    <row r="13" spans="1:12" s="19" customFormat="1" ht="25.5">
      <c r="A13" s="17" t="s">
        <v>175</v>
      </c>
      <c r="B13" s="17" t="s">
        <v>176</v>
      </c>
      <c r="C13" s="17" t="s">
        <v>836</v>
      </c>
      <c r="D13" s="17" t="s">
        <v>683</v>
      </c>
      <c r="E13" s="17" t="s">
        <v>177</v>
      </c>
      <c r="F13" s="17" t="s">
        <v>178</v>
      </c>
      <c r="G13" s="17" t="s">
        <v>675</v>
      </c>
      <c r="H13" s="17" t="s">
        <v>684</v>
      </c>
      <c r="I13" s="17" t="s">
        <v>685</v>
      </c>
      <c r="J13" s="17" t="s">
        <v>383</v>
      </c>
      <c r="K13" s="17" t="s">
        <v>675</v>
      </c>
      <c r="L13" s="17" t="s">
        <v>686</v>
      </c>
    </row>
    <row r="14" spans="1:12" s="19" customFormat="1" ht="25.5">
      <c r="A14" s="17" t="s">
        <v>179</v>
      </c>
      <c r="B14" s="17" t="s">
        <v>180</v>
      </c>
      <c r="C14" s="17" t="s">
        <v>837</v>
      </c>
      <c r="D14" s="17" t="s">
        <v>687</v>
      </c>
      <c r="E14" s="17" t="s">
        <v>181</v>
      </c>
      <c r="F14" s="17" t="s">
        <v>182</v>
      </c>
      <c r="G14" s="17" t="s">
        <v>646</v>
      </c>
      <c r="H14" s="17" t="s">
        <v>688</v>
      </c>
      <c r="I14" s="17" t="s">
        <v>689</v>
      </c>
      <c r="J14" s="17" t="s">
        <v>405</v>
      </c>
      <c r="K14" s="17" t="s">
        <v>646</v>
      </c>
      <c r="L14" s="17" t="s">
        <v>690</v>
      </c>
    </row>
    <row r="15" spans="1:12" s="19" customFormat="1" ht="63.75">
      <c r="A15" s="17" t="s">
        <v>183</v>
      </c>
      <c r="B15" s="17" t="s">
        <v>795</v>
      </c>
      <c r="C15" s="17" t="s">
        <v>838</v>
      </c>
      <c r="D15" s="17" t="s">
        <v>691</v>
      </c>
      <c r="E15" s="17" t="s">
        <v>184</v>
      </c>
      <c r="F15" s="17" t="s">
        <v>184</v>
      </c>
      <c r="G15" s="17" t="s">
        <v>646</v>
      </c>
      <c r="H15" s="17" t="s">
        <v>925</v>
      </c>
      <c r="I15" s="17" t="s">
        <v>951</v>
      </c>
      <c r="J15" s="17" t="s">
        <v>951</v>
      </c>
      <c r="K15" s="17" t="s">
        <v>646</v>
      </c>
      <c r="L15" s="17" t="s">
        <v>951</v>
      </c>
    </row>
  </sheetData>
  <mergeCells count="2">
    <mergeCell ref="A1:L1"/>
    <mergeCell ref="A2:L2"/>
  </mergeCells>
  <dataValidations count="2">
    <dataValidation type="list" sqref="G4:G15" xr:uid="{00000000-0002-0000-0500-000000000000}">
      <formula1>"Обязательно включить,Включить при наличии ресурсов,Использовать как преимущество,Проверить гипотезу,Исключить"</formula1>
    </dataValidation>
    <dataValidation type="list" sqref="K4:K15" xr:uid="{00000000-0002-0000-0500-000001000000}">
      <formula1>"Включить,Отложить,Проверить,Исключить"</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30"/>
  <sheetViews>
    <sheetView workbookViewId="0">
      <selection activeCell="C15" sqref="C15"/>
    </sheetView>
  </sheetViews>
  <sheetFormatPr defaultRowHeight="14.25"/>
  <cols>
    <col min="1" max="1" width="18.25" customWidth="1"/>
    <col min="2" max="2" width="22" customWidth="1"/>
    <col min="3" max="3" width="55.625" customWidth="1"/>
    <col min="4" max="4" width="10" customWidth="1"/>
    <col min="5" max="6" width="16.625" customWidth="1"/>
    <col min="7" max="8" width="18.625" customWidth="1"/>
    <col min="9" max="9" width="16.625" customWidth="1"/>
    <col min="10" max="11" width="18.625" customWidth="1"/>
    <col min="12" max="12" width="16.625" customWidth="1"/>
    <col min="13" max="13" width="17.625" customWidth="1"/>
    <col min="14" max="14" width="12.625" customWidth="1"/>
    <col min="15" max="15" width="14" customWidth="1"/>
  </cols>
  <sheetData>
    <row r="1" spans="1:15" ht="20.25">
      <c r="A1" s="22" t="s">
        <v>185</v>
      </c>
      <c r="B1" s="22"/>
      <c r="C1" s="22"/>
      <c r="D1" s="22"/>
      <c r="E1" s="22"/>
      <c r="F1" s="22"/>
      <c r="G1" s="22"/>
      <c r="H1" s="22"/>
      <c r="I1" s="22"/>
      <c r="J1" s="22"/>
      <c r="K1" s="22"/>
      <c r="L1" s="22"/>
      <c r="M1" s="22"/>
      <c r="N1" s="22"/>
      <c r="O1" s="22"/>
    </row>
    <row r="2" spans="1:15" ht="15" customHeight="1">
      <c r="A2" s="23" t="s">
        <v>839</v>
      </c>
      <c r="B2" s="23"/>
      <c r="C2" s="23"/>
      <c r="D2" s="23"/>
      <c r="E2" s="23"/>
      <c r="F2" s="23"/>
      <c r="G2" s="23"/>
      <c r="H2" s="23"/>
      <c r="I2" s="23"/>
      <c r="J2" s="23"/>
      <c r="K2" s="23"/>
      <c r="L2" s="23"/>
      <c r="M2" s="23"/>
      <c r="N2" s="23"/>
      <c r="O2" s="23"/>
    </row>
    <row r="3" spans="1:15">
      <c r="A3" s="9" t="s">
        <v>186</v>
      </c>
      <c r="B3" s="9" t="s">
        <v>187</v>
      </c>
      <c r="C3" s="9" t="s">
        <v>188</v>
      </c>
      <c r="D3" s="9" t="s">
        <v>189</v>
      </c>
      <c r="E3" s="9" t="s">
        <v>59</v>
      </c>
      <c r="F3" s="9" t="s">
        <v>60</v>
      </c>
      <c r="G3" s="9" t="s">
        <v>61</v>
      </c>
      <c r="H3" s="9" t="s">
        <v>62</v>
      </c>
      <c r="I3" s="9" t="s">
        <v>63</v>
      </c>
      <c r="J3" s="9" t="s">
        <v>64</v>
      </c>
      <c r="K3" s="9" t="s">
        <v>65</v>
      </c>
      <c r="L3" s="9" t="s">
        <v>66</v>
      </c>
      <c r="M3" s="9" t="s">
        <v>190</v>
      </c>
      <c r="N3" s="9" t="s">
        <v>191</v>
      </c>
      <c r="O3" s="9" t="s">
        <v>192</v>
      </c>
    </row>
    <row r="4" spans="1:15">
      <c r="A4" s="1" t="s">
        <v>193</v>
      </c>
      <c r="B4" s="1" t="s">
        <v>194</v>
      </c>
      <c r="C4" s="1" t="s">
        <v>195</v>
      </c>
      <c r="D4" s="1">
        <v>5</v>
      </c>
      <c r="E4" s="1">
        <v>5</v>
      </c>
      <c r="F4" s="1">
        <v>5</v>
      </c>
      <c r="G4" s="1">
        <v>5</v>
      </c>
      <c r="H4" s="1">
        <v>5</v>
      </c>
      <c r="I4" s="1">
        <v>5</v>
      </c>
      <c r="J4" s="1">
        <v>5</v>
      </c>
      <c r="K4" s="1">
        <v>5</v>
      </c>
      <c r="L4" s="1">
        <v>5</v>
      </c>
      <c r="M4" s="1">
        <f t="shared" ref="M4:M28" si="0">IFERROR(AVERAGE(E4:L4),"")</f>
        <v>5</v>
      </c>
      <c r="N4" s="1">
        <f t="shared" ref="N4:N28" si="1">IFERROR(MAX(E4:L4),"")</f>
        <v>5</v>
      </c>
      <c r="O4" s="1" t="str">
        <f t="shared" ref="O4:O28" si="2">IF(N4="","",IFERROR(INDEX($E$3:$L$3,1,MATCH(N4,E4:L4,0)),""))</f>
        <v>C01</v>
      </c>
    </row>
    <row r="5" spans="1:15">
      <c r="A5" s="1" t="s">
        <v>196</v>
      </c>
      <c r="B5" s="1" t="s">
        <v>194</v>
      </c>
      <c r="C5" s="1" t="s">
        <v>197</v>
      </c>
      <c r="D5" s="1">
        <v>5</v>
      </c>
      <c r="E5" s="1">
        <v>4</v>
      </c>
      <c r="F5" s="1">
        <v>4</v>
      </c>
      <c r="G5" s="1">
        <v>5</v>
      </c>
      <c r="H5" s="1">
        <v>4</v>
      </c>
      <c r="I5" s="1">
        <v>4</v>
      </c>
      <c r="J5" s="1">
        <v>4</v>
      </c>
      <c r="K5" s="1">
        <v>5</v>
      </c>
      <c r="L5" s="1">
        <v>4</v>
      </c>
      <c r="M5" s="1">
        <f t="shared" si="0"/>
        <v>4.25</v>
      </c>
      <c r="N5" s="1">
        <f t="shared" si="1"/>
        <v>5</v>
      </c>
      <c r="O5" s="1" t="str">
        <f t="shared" si="2"/>
        <v>C03</v>
      </c>
    </row>
    <row r="6" spans="1:15" ht="25.5">
      <c r="A6" s="1" t="s">
        <v>198</v>
      </c>
      <c r="B6" s="1" t="s">
        <v>194</v>
      </c>
      <c r="C6" s="1" t="s">
        <v>199</v>
      </c>
      <c r="D6" s="1">
        <v>4</v>
      </c>
      <c r="E6" s="1">
        <v>4</v>
      </c>
      <c r="F6" s="1">
        <v>4</v>
      </c>
      <c r="G6" s="1">
        <v>4</v>
      </c>
      <c r="H6" s="1">
        <v>4</v>
      </c>
      <c r="I6" s="1">
        <v>4</v>
      </c>
      <c r="J6" s="1">
        <v>4</v>
      </c>
      <c r="K6" s="1">
        <v>4</v>
      </c>
      <c r="L6" s="1">
        <v>3</v>
      </c>
      <c r="M6" s="1">
        <f t="shared" si="0"/>
        <v>3.875</v>
      </c>
      <c r="N6" s="1">
        <f t="shared" si="1"/>
        <v>4</v>
      </c>
      <c r="O6" s="1" t="str">
        <f t="shared" si="2"/>
        <v>C01</v>
      </c>
    </row>
    <row r="7" spans="1:15">
      <c r="A7" s="1" t="s">
        <v>200</v>
      </c>
      <c r="B7" s="1" t="s">
        <v>201</v>
      </c>
      <c r="C7" s="1" t="s">
        <v>202</v>
      </c>
      <c r="D7" s="1">
        <v>5</v>
      </c>
      <c r="E7" s="1">
        <v>4</v>
      </c>
      <c r="F7" s="1">
        <v>4</v>
      </c>
      <c r="G7" s="1">
        <v>5</v>
      </c>
      <c r="H7" s="1">
        <v>5</v>
      </c>
      <c r="I7" s="1">
        <v>4</v>
      </c>
      <c r="J7" s="1">
        <v>5</v>
      </c>
      <c r="K7" s="1">
        <v>5</v>
      </c>
      <c r="L7" s="1">
        <v>4</v>
      </c>
      <c r="M7" s="1">
        <f t="shared" si="0"/>
        <v>4.5</v>
      </c>
      <c r="N7" s="1">
        <f t="shared" si="1"/>
        <v>5</v>
      </c>
      <c r="O7" s="1" t="str">
        <f t="shared" si="2"/>
        <v>C03</v>
      </c>
    </row>
    <row r="8" spans="1:15" ht="25.5">
      <c r="A8" s="1" t="s">
        <v>203</v>
      </c>
      <c r="B8" s="1" t="s">
        <v>201</v>
      </c>
      <c r="C8" s="1" t="s">
        <v>204</v>
      </c>
      <c r="D8" s="1">
        <v>4</v>
      </c>
      <c r="E8" s="1">
        <v>4</v>
      </c>
      <c r="F8" s="1">
        <v>4</v>
      </c>
      <c r="G8" s="1">
        <v>4</v>
      </c>
      <c r="H8" s="1" t="s">
        <v>951</v>
      </c>
      <c r="I8" s="1">
        <v>4</v>
      </c>
      <c r="J8" s="1">
        <v>5</v>
      </c>
      <c r="K8" s="1">
        <v>4</v>
      </c>
      <c r="L8" s="1">
        <v>4</v>
      </c>
      <c r="M8" s="1">
        <f t="shared" si="0"/>
        <v>4.1428571428571432</v>
      </c>
      <c r="N8" s="1">
        <f t="shared" si="1"/>
        <v>5</v>
      </c>
      <c r="O8" s="1" t="str">
        <f t="shared" si="2"/>
        <v>C06</v>
      </c>
    </row>
    <row r="9" spans="1:15" ht="25.5">
      <c r="A9" s="1" t="s">
        <v>205</v>
      </c>
      <c r="B9" s="1" t="s">
        <v>201</v>
      </c>
      <c r="C9" s="1" t="s">
        <v>206</v>
      </c>
      <c r="D9" s="1">
        <v>4</v>
      </c>
      <c r="E9" s="1">
        <v>5</v>
      </c>
      <c r="F9" s="1">
        <v>5</v>
      </c>
      <c r="G9" s="1">
        <v>5</v>
      </c>
      <c r="H9" s="1">
        <v>5</v>
      </c>
      <c r="I9" s="1">
        <v>5</v>
      </c>
      <c r="J9" s="1">
        <v>5</v>
      </c>
      <c r="K9" s="1">
        <v>5</v>
      </c>
      <c r="L9" s="1">
        <v>5</v>
      </c>
      <c r="M9" s="1">
        <f t="shared" si="0"/>
        <v>5</v>
      </c>
      <c r="N9" s="1">
        <f t="shared" si="1"/>
        <v>5</v>
      </c>
      <c r="O9" s="1" t="str">
        <f t="shared" si="2"/>
        <v>C01</v>
      </c>
    </row>
    <row r="10" spans="1:15" ht="25.5">
      <c r="A10" s="1" t="s">
        <v>207</v>
      </c>
      <c r="B10" s="1" t="s">
        <v>208</v>
      </c>
      <c r="C10" s="1" t="s">
        <v>209</v>
      </c>
      <c r="D10" s="1">
        <v>5</v>
      </c>
      <c r="E10" s="1">
        <v>2</v>
      </c>
      <c r="F10" s="1">
        <v>2</v>
      </c>
      <c r="G10" s="1">
        <v>4</v>
      </c>
      <c r="H10" s="1">
        <v>3</v>
      </c>
      <c r="I10" s="1">
        <v>3</v>
      </c>
      <c r="J10" s="1">
        <v>4</v>
      </c>
      <c r="K10" s="1">
        <v>4</v>
      </c>
      <c r="L10" s="1">
        <v>3</v>
      </c>
      <c r="M10" s="1">
        <f t="shared" si="0"/>
        <v>3.125</v>
      </c>
      <c r="N10" s="1">
        <f t="shared" si="1"/>
        <v>4</v>
      </c>
      <c r="O10" s="1" t="str">
        <f t="shared" si="2"/>
        <v>C03</v>
      </c>
    </row>
    <row r="11" spans="1:15" ht="25.5">
      <c r="A11" s="1" t="s">
        <v>210</v>
      </c>
      <c r="B11" s="1" t="s">
        <v>208</v>
      </c>
      <c r="C11" s="1" t="s">
        <v>211</v>
      </c>
      <c r="D11" s="1">
        <v>5</v>
      </c>
      <c r="E11" s="1">
        <v>3</v>
      </c>
      <c r="F11" s="1">
        <v>3</v>
      </c>
      <c r="G11" s="1">
        <v>4</v>
      </c>
      <c r="H11" s="1">
        <v>4</v>
      </c>
      <c r="I11" s="1">
        <v>4</v>
      </c>
      <c r="J11" s="1">
        <v>5</v>
      </c>
      <c r="K11" s="1">
        <v>5</v>
      </c>
      <c r="L11" s="1">
        <v>4</v>
      </c>
      <c r="M11" s="1">
        <f t="shared" si="0"/>
        <v>4</v>
      </c>
      <c r="N11" s="1">
        <f t="shared" si="1"/>
        <v>5</v>
      </c>
      <c r="O11" s="1" t="str">
        <f t="shared" si="2"/>
        <v>C06</v>
      </c>
    </row>
    <row r="12" spans="1:15">
      <c r="A12" s="1" t="s">
        <v>212</v>
      </c>
      <c r="B12" s="1" t="s">
        <v>208</v>
      </c>
      <c r="C12" s="1" t="s">
        <v>213</v>
      </c>
      <c r="D12" s="1">
        <v>4</v>
      </c>
      <c r="E12" s="1">
        <v>2</v>
      </c>
      <c r="F12" s="1">
        <v>1</v>
      </c>
      <c r="G12" s="1">
        <v>5</v>
      </c>
      <c r="H12" s="1">
        <v>5</v>
      </c>
      <c r="I12" s="1">
        <v>2</v>
      </c>
      <c r="J12" s="1">
        <v>5</v>
      </c>
      <c r="K12" s="1">
        <v>5</v>
      </c>
      <c r="L12" s="1">
        <v>5</v>
      </c>
      <c r="M12" s="1">
        <f t="shared" si="0"/>
        <v>3.75</v>
      </c>
      <c r="N12" s="1">
        <f t="shared" si="1"/>
        <v>5</v>
      </c>
      <c r="O12" s="1" t="str">
        <f t="shared" si="2"/>
        <v>C03</v>
      </c>
    </row>
    <row r="13" spans="1:15" ht="25.5">
      <c r="A13" s="1" t="s">
        <v>214</v>
      </c>
      <c r="B13" s="1" t="s">
        <v>215</v>
      </c>
      <c r="C13" s="1" t="s">
        <v>216</v>
      </c>
      <c r="D13" s="1">
        <v>4</v>
      </c>
      <c r="E13" s="1">
        <v>1</v>
      </c>
      <c r="F13" s="1">
        <v>2</v>
      </c>
      <c r="G13" s="1">
        <v>4</v>
      </c>
      <c r="H13" s="1">
        <v>4</v>
      </c>
      <c r="I13" s="1">
        <v>3</v>
      </c>
      <c r="J13" s="1">
        <v>5</v>
      </c>
      <c r="K13" s="1">
        <v>4</v>
      </c>
      <c r="L13" s="1">
        <v>4</v>
      </c>
      <c r="M13" s="1">
        <f t="shared" si="0"/>
        <v>3.375</v>
      </c>
      <c r="N13" s="1">
        <f t="shared" si="1"/>
        <v>5</v>
      </c>
      <c r="O13" s="1" t="str">
        <f t="shared" si="2"/>
        <v>C06</v>
      </c>
    </row>
    <row r="14" spans="1:15" ht="25.5">
      <c r="A14" s="1" t="s">
        <v>217</v>
      </c>
      <c r="B14" s="1" t="s">
        <v>215</v>
      </c>
      <c r="C14" s="1" t="s">
        <v>218</v>
      </c>
      <c r="D14" s="1">
        <v>4</v>
      </c>
      <c r="E14" s="1">
        <v>2</v>
      </c>
      <c r="F14" s="1">
        <v>2</v>
      </c>
      <c r="G14" s="1">
        <v>4</v>
      </c>
      <c r="H14" s="1">
        <v>4</v>
      </c>
      <c r="I14" s="1">
        <v>5</v>
      </c>
      <c r="J14" s="1">
        <v>5</v>
      </c>
      <c r="K14" s="1">
        <v>4</v>
      </c>
      <c r="L14" s="1">
        <v>5</v>
      </c>
      <c r="M14" s="1">
        <f t="shared" si="0"/>
        <v>3.875</v>
      </c>
      <c r="N14" s="1">
        <f t="shared" si="1"/>
        <v>5</v>
      </c>
      <c r="O14" s="1" t="str">
        <f t="shared" si="2"/>
        <v>C05</v>
      </c>
    </row>
    <row r="15" spans="1:15" ht="25.5">
      <c r="A15" s="1" t="s">
        <v>219</v>
      </c>
      <c r="B15" s="1" t="s">
        <v>215</v>
      </c>
      <c r="C15" s="1" t="s">
        <v>220</v>
      </c>
      <c r="D15" s="1">
        <v>3</v>
      </c>
      <c r="E15" s="1">
        <v>2</v>
      </c>
      <c r="F15" s="1">
        <v>3</v>
      </c>
      <c r="G15" s="1">
        <v>3</v>
      </c>
      <c r="H15" s="1" t="s">
        <v>951</v>
      </c>
      <c r="I15" s="1">
        <v>3</v>
      </c>
      <c r="J15" s="1" t="s">
        <v>951</v>
      </c>
      <c r="K15" s="1" t="s">
        <v>951</v>
      </c>
      <c r="L15" s="1" t="s">
        <v>951</v>
      </c>
      <c r="M15" s="1">
        <f t="shared" si="0"/>
        <v>2.75</v>
      </c>
      <c r="N15" s="1">
        <f t="shared" si="1"/>
        <v>3</v>
      </c>
      <c r="O15" s="1" t="str">
        <f t="shared" si="2"/>
        <v>C02</v>
      </c>
    </row>
    <row r="16" spans="1:15">
      <c r="A16" s="1" t="s">
        <v>221</v>
      </c>
      <c r="B16" s="1" t="s">
        <v>222</v>
      </c>
      <c r="C16" s="1" t="s">
        <v>223</v>
      </c>
      <c r="D16" s="1">
        <v>5</v>
      </c>
      <c r="E16" s="1">
        <v>4</v>
      </c>
      <c r="F16" s="1">
        <v>5</v>
      </c>
      <c r="G16" s="1">
        <v>5</v>
      </c>
      <c r="H16" s="1">
        <v>5</v>
      </c>
      <c r="I16" s="1">
        <v>5</v>
      </c>
      <c r="J16" s="1">
        <v>5</v>
      </c>
      <c r="K16" s="1">
        <v>5</v>
      </c>
      <c r="L16" s="1">
        <v>5</v>
      </c>
      <c r="M16" s="1">
        <f t="shared" si="0"/>
        <v>4.875</v>
      </c>
      <c r="N16" s="1">
        <f t="shared" si="1"/>
        <v>5</v>
      </c>
      <c r="O16" s="1" t="str">
        <f t="shared" si="2"/>
        <v>C02</v>
      </c>
    </row>
    <row r="17" spans="1:15" ht="25.5">
      <c r="A17" s="1" t="s">
        <v>224</v>
      </c>
      <c r="B17" s="1" t="s">
        <v>222</v>
      </c>
      <c r="C17" s="1" t="s">
        <v>225</v>
      </c>
      <c r="D17" s="1">
        <v>4</v>
      </c>
      <c r="E17" s="1">
        <v>3</v>
      </c>
      <c r="F17" s="1">
        <v>3</v>
      </c>
      <c r="G17" s="1">
        <v>5</v>
      </c>
      <c r="H17" s="1">
        <v>5</v>
      </c>
      <c r="I17" s="1">
        <v>4</v>
      </c>
      <c r="J17" s="1">
        <v>5</v>
      </c>
      <c r="K17" s="1">
        <v>5</v>
      </c>
      <c r="L17" s="1">
        <v>4</v>
      </c>
      <c r="M17" s="1">
        <f t="shared" si="0"/>
        <v>4.25</v>
      </c>
      <c r="N17" s="1">
        <f t="shared" si="1"/>
        <v>5</v>
      </c>
      <c r="O17" s="1" t="str">
        <f t="shared" si="2"/>
        <v>C03</v>
      </c>
    </row>
    <row r="18" spans="1:15">
      <c r="A18" s="1" t="s">
        <v>226</v>
      </c>
      <c r="B18" s="1" t="s">
        <v>222</v>
      </c>
      <c r="C18" s="1" t="s">
        <v>227</v>
      </c>
      <c r="D18" s="1">
        <v>4</v>
      </c>
      <c r="E18" s="1">
        <v>3</v>
      </c>
      <c r="F18" s="1">
        <v>4</v>
      </c>
      <c r="G18" s="1">
        <v>4</v>
      </c>
      <c r="H18" s="1">
        <v>4</v>
      </c>
      <c r="I18" s="1">
        <v>4</v>
      </c>
      <c r="J18" s="1">
        <v>4</v>
      </c>
      <c r="K18" s="1">
        <v>4</v>
      </c>
      <c r="L18" s="1">
        <v>4</v>
      </c>
      <c r="M18" s="1">
        <f t="shared" si="0"/>
        <v>3.875</v>
      </c>
      <c r="N18" s="1">
        <f t="shared" si="1"/>
        <v>4</v>
      </c>
      <c r="O18" s="1" t="str">
        <f t="shared" si="2"/>
        <v>C02</v>
      </c>
    </row>
    <row r="19" spans="1:15">
      <c r="A19" s="1" t="s">
        <v>228</v>
      </c>
      <c r="B19" s="1" t="s">
        <v>229</v>
      </c>
      <c r="C19" s="1" t="s">
        <v>230</v>
      </c>
      <c r="D19" s="1">
        <v>5</v>
      </c>
      <c r="E19" s="1">
        <v>4</v>
      </c>
      <c r="F19" s="1">
        <v>3</v>
      </c>
      <c r="G19" s="1">
        <v>5</v>
      </c>
      <c r="H19" s="1">
        <v>5</v>
      </c>
      <c r="I19" s="1">
        <v>4</v>
      </c>
      <c r="J19" s="1">
        <v>5</v>
      </c>
      <c r="K19" s="1">
        <v>5</v>
      </c>
      <c r="L19" s="1">
        <v>5</v>
      </c>
      <c r="M19" s="1">
        <f t="shared" si="0"/>
        <v>4.5</v>
      </c>
      <c r="N19" s="1">
        <f t="shared" si="1"/>
        <v>5</v>
      </c>
      <c r="O19" s="1" t="str">
        <f t="shared" si="2"/>
        <v>C03</v>
      </c>
    </row>
    <row r="20" spans="1:15" ht="25.5">
      <c r="A20" s="1" t="s">
        <v>231</v>
      </c>
      <c r="B20" s="1" t="s">
        <v>229</v>
      </c>
      <c r="C20" s="1" t="s">
        <v>232</v>
      </c>
      <c r="D20" s="1">
        <v>4</v>
      </c>
      <c r="E20" s="1">
        <v>2</v>
      </c>
      <c r="F20" s="1">
        <v>1</v>
      </c>
      <c r="G20" s="1">
        <v>4</v>
      </c>
      <c r="H20" s="1">
        <v>4</v>
      </c>
      <c r="I20" s="1">
        <v>2</v>
      </c>
      <c r="J20" s="1">
        <v>5</v>
      </c>
      <c r="K20" s="1">
        <v>4</v>
      </c>
      <c r="L20" s="1">
        <v>4</v>
      </c>
      <c r="M20" s="1">
        <f t="shared" si="0"/>
        <v>3.25</v>
      </c>
      <c r="N20" s="1">
        <f t="shared" si="1"/>
        <v>5</v>
      </c>
      <c r="O20" s="1" t="str">
        <f t="shared" si="2"/>
        <v>C06</v>
      </c>
    </row>
    <row r="21" spans="1:15">
      <c r="A21" s="1" t="s">
        <v>233</v>
      </c>
      <c r="B21" s="1" t="s">
        <v>234</v>
      </c>
      <c r="C21" s="1" t="s">
        <v>235</v>
      </c>
      <c r="D21" s="1">
        <v>3</v>
      </c>
      <c r="E21" s="1">
        <v>2</v>
      </c>
      <c r="F21" s="1">
        <v>2</v>
      </c>
      <c r="G21" s="1">
        <v>4</v>
      </c>
      <c r="H21" s="1">
        <v>3</v>
      </c>
      <c r="I21" s="1">
        <v>3</v>
      </c>
      <c r="J21" s="1">
        <v>4</v>
      </c>
      <c r="K21" s="1">
        <v>3</v>
      </c>
      <c r="L21" s="1">
        <v>4</v>
      </c>
      <c r="M21" s="1">
        <f t="shared" si="0"/>
        <v>3.125</v>
      </c>
      <c r="N21" s="1">
        <f t="shared" si="1"/>
        <v>4</v>
      </c>
      <c r="O21" s="1" t="str">
        <f t="shared" si="2"/>
        <v>C03</v>
      </c>
    </row>
    <row r="22" spans="1:15">
      <c r="A22" s="1" t="s">
        <v>236</v>
      </c>
      <c r="B22" s="1" t="s">
        <v>234</v>
      </c>
      <c r="C22" s="1" t="s">
        <v>237</v>
      </c>
      <c r="D22" s="1">
        <v>3</v>
      </c>
      <c r="E22" s="1">
        <v>5</v>
      </c>
      <c r="F22" s="1">
        <v>5</v>
      </c>
      <c r="G22" s="1">
        <v>5</v>
      </c>
      <c r="H22" s="1" t="s">
        <v>951</v>
      </c>
      <c r="I22" s="1">
        <v>4</v>
      </c>
      <c r="J22" s="1">
        <v>4</v>
      </c>
      <c r="K22" s="1">
        <v>4</v>
      </c>
      <c r="L22" s="1" t="s">
        <v>951</v>
      </c>
      <c r="M22" s="1">
        <f t="shared" si="0"/>
        <v>4.5</v>
      </c>
      <c r="N22" s="1">
        <f t="shared" si="1"/>
        <v>5</v>
      </c>
      <c r="O22" s="1" t="str">
        <f t="shared" si="2"/>
        <v>C01</v>
      </c>
    </row>
    <row r="23" spans="1:15" ht="25.5">
      <c r="A23" s="1" t="s">
        <v>238</v>
      </c>
      <c r="B23" s="1" t="s">
        <v>239</v>
      </c>
      <c r="C23" s="1" t="s">
        <v>240</v>
      </c>
      <c r="D23" s="1">
        <v>4</v>
      </c>
      <c r="E23" s="1">
        <v>4</v>
      </c>
      <c r="F23" s="1">
        <v>5</v>
      </c>
      <c r="G23" s="1">
        <v>5</v>
      </c>
      <c r="H23" s="1">
        <v>5</v>
      </c>
      <c r="I23" s="1">
        <v>5</v>
      </c>
      <c r="J23" s="1">
        <v>5</v>
      </c>
      <c r="K23" s="1">
        <v>5</v>
      </c>
      <c r="L23" s="1">
        <v>4</v>
      </c>
      <c r="M23" s="1">
        <f t="shared" si="0"/>
        <v>4.75</v>
      </c>
      <c r="N23" s="1">
        <f t="shared" si="1"/>
        <v>5</v>
      </c>
      <c r="O23" s="1" t="str">
        <f t="shared" si="2"/>
        <v>C02</v>
      </c>
    </row>
    <row r="24" spans="1:15" ht="25.5">
      <c r="A24" s="1" t="s">
        <v>241</v>
      </c>
      <c r="B24" s="1" t="s">
        <v>239</v>
      </c>
      <c r="C24" s="1" t="s">
        <v>242</v>
      </c>
      <c r="D24" s="1">
        <v>3</v>
      </c>
      <c r="E24" s="1">
        <v>3</v>
      </c>
      <c r="F24" s="1">
        <v>3</v>
      </c>
      <c r="G24" s="1">
        <v>4</v>
      </c>
      <c r="H24" s="1">
        <v>3</v>
      </c>
      <c r="I24" s="1" t="s">
        <v>951</v>
      </c>
      <c r="J24" s="1">
        <v>4</v>
      </c>
      <c r="K24" s="1">
        <v>4</v>
      </c>
      <c r="L24" s="1">
        <v>3</v>
      </c>
      <c r="M24" s="1">
        <f t="shared" si="0"/>
        <v>3.4285714285714284</v>
      </c>
      <c r="N24" s="1">
        <f t="shared" si="1"/>
        <v>4</v>
      </c>
      <c r="O24" s="1" t="str">
        <f t="shared" si="2"/>
        <v>C03</v>
      </c>
    </row>
    <row r="25" spans="1:15">
      <c r="A25" s="1" t="s">
        <v>243</v>
      </c>
      <c r="B25" s="1" t="s">
        <v>244</v>
      </c>
      <c r="C25" s="1" t="s">
        <v>245</v>
      </c>
      <c r="D25" s="1">
        <v>5</v>
      </c>
      <c r="E25" s="1">
        <v>3</v>
      </c>
      <c r="F25" s="1">
        <v>3</v>
      </c>
      <c r="G25" s="1">
        <v>4</v>
      </c>
      <c r="H25" s="1">
        <v>4</v>
      </c>
      <c r="I25" s="1">
        <v>4</v>
      </c>
      <c r="J25" s="1">
        <v>4</v>
      </c>
      <c r="K25" s="1">
        <v>5</v>
      </c>
      <c r="L25" s="1">
        <v>3</v>
      </c>
      <c r="M25" s="1">
        <f t="shared" si="0"/>
        <v>3.75</v>
      </c>
      <c r="N25" s="1">
        <f t="shared" si="1"/>
        <v>5</v>
      </c>
      <c r="O25" s="1" t="str">
        <f t="shared" si="2"/>
        <v>C07</v>
      </c>
    </row>
    <row r="26" spans="1:15">
      <c r="A26" s="1" t="s">
        <v>246</v>
      </c>
      <c r="B26" s="1" t="s">
        <v>244</v>
      </c>
      <c r="C26" s="1" t="s">
        <v>247</v>
      </c>
      <c r="D26" s="1">
        <v>5</v>
      </c>
      <c r="E26" s="1">
        <v>2</v>
      </c>
      <c r="F26" s="1">
        <v>2</v>
      </c>
      <c r="G26" s="1">
        <v>4</v>
      </c>
      <c r="H26" s="1">
        <v>4</v>
      </c>
      <c r="I26" s="1">
        <v>4</v>
      </c>
      <c r="J26" s="1">
        <v>4</v>
      </c>
      <c r="K26" s="1">
        <v>4</v>
      </c>
      <c r="L26" s="1">
        <v>4</v>
      </c>
      <c r="M26" s="1">
        <f t="shared" si="0"/>
        <v>3.5</v>
      </c>
      <c r="N26" s="1">
        <f t="shared" si="1"/>
        <v>4</v>
      </c>
      <c r="O26" s="1" t="str">
        <f t="shared" si="2"/>
        <v>C03</v>
      </c>
    </row>
    <row r="27" spans="1:15">
      <c r="A27" s="1" t="s">
        <v>248</v>
      </c>
      <c r="B27" s="1" t="s">
        <v>249</v>
      </c>
      <c r="C27" s="1" t="s">
        <v>250</v>
      </c>
      <c r="D27" s="1">
        <v>5</v>
      </c>
      <c r="E27" s="1">
        <v>4</v>
      </c>
      <c r="F27" s="1">
        <v>4</v>
      </c>
      <c r="G27" s="1">
        <v>5</v>
      </c>
      <c r="H27" s="1">
        <v>4</v>
      </c>
      <c r="I27" s="1">
        <v>5</v>
      </c>
      <c r="J27" s="1">
        <v>5</v>
      </c>
      <c r="K27" s="1">
        <v>4</v>
      </c>
      <c r="L27" s="1">
        <v>3</v>
      </c>
      <c r="M27" s="1">
        <f t="shared" si="0"/>
        <v>4.25</v>
      </c>
      <c r="N27" s="1">
        <f t="shared" si="1"/>
        <v>5</v>
      </c>
      <c r="O27" s="1" t="str">
        <f t="shared" si="2"/>
        <v>C03</v>
      </c>
    </row>
    <row r="28" spans="1:15" ht="25.5">
      <c r="A28" s="1" t="s">
        <v>251</v>
      </c>
      <c r="B28" s="1" t="s">
        <v>249</v>
      </c>
      <c r="C28" s="1" t="s">
        <v>252</v>
      </c>
      <c r="D28" s="1">
        <v>5</v>
      </c>
      <c r="E28" s="1">
        <v>4</v>
      </c>
      <c r="F28" s="1">
        <v>4</v>
      </c>
      <c r="G28" s="1">
        <v>5</v>
      </c>
      <c r="H28" s="1">
        <v>4</v>
      </c>
      <c r="I28" s="1">
        <v>5</v>
      </c>
      <c r="J28" s="1">
        <v>5</v>
      </c>
      <c r="K28" s="1">
        <v>4</v>
      </c>
      <c r="L28" s="1">
        <v>4</v>
      </c>
      <c r="M28" s="1">
        <f t="shared" si="0"/>
        <v>4.375</v>
      </c>
      <c r="N28" s="1">
        <f t="shared" si="1"/>
        <v>5</v>
      </c>
      <c r="O28" s="1" t="str">
        <f t="shared" si="2"/>
        <v>C03</v>
      </c>
    </row>
    <row r="29" spans="1:15" ht="25.5">
      <c r="A29" s="21" t="s">
        <v>253</v>
      </c>
      <c r="B29" s="3"/>
      <c r="C29" s="3"/>
      <c r="D29" s="3"/>
      <c r="E29" s="21">
        <f t="shared" ref="E29:L29" si="3">IFERROR(ROUND(SUMPRODUCT($D$4:$D$28,E$4:E$28)/SUMIF(E$4:E$28,"&gt;=0",$D$4:$D$28),2),"")</f>
        <v>3.28</v>
      </c>
      <c r="F29" s="21">
        <f t="shared" si="3"/>
        <v>3.35</v>
      </c>
      <c r="G29" s="21">
        <f t="shared" si="3"/>
        <v>4.4800000000000004</v>
      </c>
      <c r="H29" s="21">
        <f t="shared" si="3"/>
        <v>4.26</v>
      </c>
      <c r="I29" s="21">
        <f t="shared" si="3"/>
        <v>4.01</v>
      </c>
      <c r="J29" s="21">
        <f t="shared" si="3"/>
        <v>4.6399999999999997</v>
      </c>
      <c r="K29" s="21">
        <f t="shared" si="3"/>
        <v>4.46</v>
      </c>
      <c r="L29" s="21">
        <f t="shared" si="3"/>
        <v>4.05</v>
      </c>
      <c r="M29" s="1"/>
      <c r="N29" s="1"/>
      <c r="O29" s="1"/>
    </row>
    <row r="30" spans="1:15">
      <c r="A30" s="1" t="s">
        <v>21</v>
      </c>
      <c r="B30" s="1"/>
      <c r="C30" s="1"/>
      <c r="D30" s="1"/>
      <c r="E30" s="1" t="str">
        <f t="shared" ref="E30:L30" si="4">IF(E29="","",IF(E29&gt;=4.2,"Лидерский уровень",IF(E29&gt;=3.5,"Сильный уровень",IF(E29&gt;=2.5,"Средний уровень","Слабый уровень"))))</f>
        <v>Средний уровень</v>
      </c>
      <c r="F30" s="1" t="str">
        <f t="shared" si="4"/>
        <v>Средний уровень</v>
      </c>
      <c r="G30" s="1" t="str">
        <f t="shared" si="4"/>
        <v>Лидерский уровень</v>
      </c>
      <c r="H30" s="1" t="str">
        <f t="shared" si="4"/>
        <v>Лидерский уровень</v>
      </c>
      <c r="I30" s="1" t="str">
        <f t="shared" si="4"/>
        <v>Сильный уровень</v>
      </c>
      <c r="J30" s="1" t="str">
        <f t="shared" si="4"/>
        <v>Лидерский уровень</v>
      </c>
      <c r="K30" s="1" t="str">
        <f t="shared" si="4"/>
        <v>Лидерский уровень</v>
      </c>
      <c r="L30" s="1" t="str">
        <f t="shared" si="4"/>
        <v>Сильный уровень</v>
      </c>
      <c r="M30" s="1"/>
      <c r="N30" s="1"/>
      <c r="O30" s="1"/>
    </row>
  </sheetData>
  <mergeCells count="2">
    <mergeCell ref="A1:O1"/>
    <mergeCell ref="A2:O2"/>
  </mergeCells>
  <conditionalFormatting sqref="E4:L28">
    <cfRule type="colorScale" priority="9">
      <colorScale>
        <cfvo type="min"/>
        <cfvo type="percentile" val="50"/>
        <cfvo type="max"/>
        <color rgb="FFFEE2E2"/>
        <color rgb="FFFEF3C7"/>
        <color rgb="FFDCFCE7"/>
      </colorScale>
    </cfRule>
  </conditionalFormatting>
  <dataValidations count="2">
    <dataValidation type="list" sqref="D4:D28" xr:uid="{00000000-0002-0000-0600-000000000000}">
      <formula1>"1,2,3,4,5"</formula1>
    </dataValidation>
    <dataValidation type="list" sqref="E4:L28" xr:uid="{00000000-0002-0000-0600-000001000000}">
      <formula1>"0,1,2,3,4,5"</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2"/>
  <sheetViews>
    <sheetView topLeftCell="A8" workbookViewId="0">
      <selection activeCell="C46" sqref="C46"/>
    </sheetView>
  </sheetViews>
  <sheetFormatPr defaultRowHeight="14.25"/>
  <cols>
    <col min="1" max="1" width="13" customWidth="1"/>
    <col min="2" max="2" width="54.625" customWidth="1"/>
    <col min="3" max="3" width="55.625" customWidth="1"/>
    <col min="4" max="4" width="28" customWidth="1"/>
    <col min="5" max="5" width="20" customWidth="1"/>
    <col min="6" max="6" width="19.625" customWidth="1"/>
    <col min="7" max="8" width="17.625" customWidth="1"/>
    <col min="9" max="9" width="24" customWidth="1"/>
    <col min="10" max="10" width="55.625" customWidth="1"/>
    <col min="11" max="12" width="34" customWidth="1"/>
  </cols>
  <sheetData>
    <row r="1" spans="1:12" ht="20.25">
      <c r="A1" s="22" t="s">
        <v>254</v>
      </c>
      <c r="B1" s="22"/>
      <c r="C1" s="22"/>
      <c r="D1" s="22"/>
      <c r="E1" s="22"/>
      <c r="F1" s="22"/>
      <c r="G1" s="22"/>
      <c r="H1" s="22"/>
      <c r="I1" s="22"/>
      <c r="J1" s="22"/>
      <c r="K1" s="22"/>
      <c r="L1" s="22"/>
    </row>
    <row r="2" spans="1:12" ht="15" customHeight="1">
      <c r="A2" s="23" t="s">
        <v>840</v>
      </c>
      <c r="B2" s="23"/>
      <c r="C2" s="23"/>
      <c r="D2" s="23"/>
      <c r="E2" s="23"/>
      <c r="F2" s="23"/>
      <c r="G2" s="23"/>
      <c r="H2" s="23"/>
      <c r="I2" s="23"/>
      <c r="J2" s="23"/>
      <c r="K2" s="23"/>
      <c r="L2" s="23"/>
    </row>
    <row r="3" spans="1:12">
      <c r="A3" s="9" t="s">
        <v>255</v>
      </c>
      <c r="B3" s="9" t="s">
        <v>256</v>
      </c>
      <c r="C3" s="9" t="s">
        <v>257</v>
      </c>
      <c r="D3" s="9" t="s">
        <v>258</v>
      </c>
      <c r="E3" s="9" t="s">
        <v>97</v>
      </c>
      <c r="F3" s="9" t="s">
        <v>259</v>
      </c>
      <c r="G3" s="9" t="s">
        <v>100</v>
      </c>
      <c r="H3" s="9" t="s">
        <v>260</v>
      </c>
      <c r="I3" s="9" t="s">
        <v>57</v>
      </c>
      <c r="J3" s="9" t="s">
        <v>261</v>
      </c>
      <c r="K3" s="9" t="s">
        <v>262</v>
      </c>
      <c r="L3" s="9" t="s">
        <v>58</v>
      </c>
    </row>
    <row r="4" spans="1:12" ht="25.5">
      <c r="A4" s="1" t="s">
        <v>263</v>
      </c>
      <c r="B4" s="1" t="s">
        <v>505</v>
      </c>
      <c r="C4" s="1" t="s">
        <v>692</v>
      </c>
      <c r="D4" s="1" t="s">
        <v>158</v>
      </c>
      <c r="E4" s="1" t="s">
        <v>159</v>
      </c>
      <c r="F4" s="1">
        <v>5</v>
      </c>
      <c r="G4" s="2">
        <f>IF(F4="","",IFERROR(F4/MAX(1,COUNTIF('01_Конкуренты'!$B$4:$B$11,"?*")),""))</f>
        <v>0.625</v>
      </c>
      <c r="H4" s="1">
        <v>5</v>
      </c>
      <c r="I4" s="1" t="str">
        <f t="shared" ref="I4:I32" si="0">IF(B4="","",IF(OR(E4="Обязательное",E4="Линейное"),IF(G4&gt;=0.6,"Рыночный стандарт",IF(G4&gt;=0.35,"Формирующаяся норма","Проверить необходимость")),IF(E4="Привлекательное",IF(G4&lt;0.5,"Зона дифференциации","Переходит в ожидаемое"),IF(E4="Безразличное","Низкий приоритет",IF(E4="Обратное","Риск отторжения","Требует проверки")))))</f>
        <v>Рыночный стандарт</v>
      </c>
      <c r="J4" s="1" t="s">
        <v>693</v>
      </c>
      <c r="K4" s="1" t="s">
        <v>931</v>
      </c>
      <c r="L4" s="1" t="s">
        <v>932</v>
      </c>
    </row>
    <row r="5" spans="1:12" ht="25.5">
      <c r="A5" s="1" t="s">
        <v>264</v>
      </c>
      <c r="B5" s="1" t="s">
        <v>508</v>
      </c>
      <c r="C5" s="1" t="s">
        <v>694</v>
      </c>
      <c r="D5" s="1" t="s">
        <v>162</v>
      </c>
      <c r="E5" s="1" t="s">
        <v>159</v>
      </c>
      <c r="F5" s="1">
        <v>8</v>
      </c>
      <c r="G5" s="2">
        <f>IF(F5="","",IFERROR(F5/MAX(1,COUNTIF('01_Конкуренты'!$B$4:$B$11,"?*")),""))</f>
        <v>1</v>
      </c>
      <c r="H5" s="1">
        <v>5</v>
      </c>
      <c r="I5" s="1" t="str">
        <f t="shared" si="0"/>
        <v>Рыночный стандарт</v>
      </c>
      <c r="J5" s="1" t="s">
        <v>695</v>
      </c>
      <c r="K5" s="1" t="s">
        <v>931</v>
      </c>
      <c r="L5" s="1" t="s">
        <v>933</v>
      </c>
    </row>
    <row r="6" spans="1:12" ht="25.5">
      <c r="A6" s="1" t="s">
        <v>265</v>
      </c>
      <c r="B6" s="1" t="s">
        <v>535</v>
      </c>
      <c r="C6" s="1" t="s">
        <v>696</v>
      </c>
      <c r="D6" s="1" t="s">
        <v>162</v>
      </c>
      <c r="E6" s="1" t="s">
        <v>155</v>
      </c>
      <c r="F6" s="1">
        <v>5</v>
      </c>
      <c r="G6" s="2">
        <f>IF(F6="","",IFERROR(F6/MAX(1,COUNTIF('01_Конкуренты'!$B$4:$B$11,"?*")),""))</f>
        <v>0.625</v>
      </c>
      <c r="H6" s="1">
        <v>5</v>
      </c>
      <c r="I6" s="1" t="str">
        <f t="shared" si="0"/>
        <v>Рыночный стандарт</v>
      </c>
      <c r="J6" s="1" t="s">
        <v>697</v>
      </c>
      <c r="K6" s="1" t="s">
        <v>931</v>
      </c>
      <c r="L6" s="1" t="s">
        <v>932</v>
      </c>
    </row>
    <row r="7" spans="1:12" ht="25.5">
      <c r="A7" s="1" t="s">
        <v>266</v>
      </c>
      <c r="B7" s="1" t="s">
        <v>536</v>
      </c>
      <c r="C7" s="1" t="s">
        <v>668</v>
      </c>
      <c r="D7" s="1" t="s">
        <v>162</v>
      </c>
      <c r="E7" s="1" t="s">
        <v>159</v>
      </c>
      <c r="F7" s="1">
        <v>5</v>
      </c>
      <c r="G7" s="2">
        <f>IF(F7="","",IFERROR(F7/MAX(1,COUNTIF('01_Конкуренты'!$B$4:$B$11,"?*")),""))</f>
        <v>0.625</v>
      </c>
      <c r="H7" s="1">
        <v>5</v>
      </c>
      <c r="I7" s="1" t="str">
        <f t="shared" si="0"/>
        <v>Рыночный стандарт</v>
      </c>
      <c r="J7" s="1" t="s">
        <v>693</v>
      </c>
      <c r="K7" s="1" t="s">
        <v>931</v>
      </c>
      <c r="L7" s="1" t="s">
        <v>932</v>
      </c>
    </row>
    <row r="8" spans="1:12" ht="25.5">
      <c r="A8" s="1" t="s">
        <v>267</v>
      </c>
      <c r="B8" s="1" t="s">
        <v>538</v>
      </c>
      <c r="C8" s="1" t="s">
        <v>698</v>
      </c>
      <c r="D8" s="1" t="s">
        <v>171</v>
      </c>
      <c r="E8" s="1" t="s">
        <v>327</v>
      </c>
      <c r="F8" s="1">
        <v>4</v>
      </c>
      <c r="G8" s="2">
        <f>IF(F8="","",IFERROR(F8/MAX(1,COUNTIF('01_Конкуренты'!$B$4:$B$11,"?*")),""))</f>
        <v>0.5</v>
      </c>
      <c r="H8" s="1">
        <v>5</v>
      </c>
      <c r="I8" s="1" t="str">
        <f t="shared" si="0"/>
        <v>Низкий приоритет</v>
      </c>
      <c r="J8" s="1" t="s">
        <v>699</v>
      </c>
      <c r="K8" s="1" t="s">
        <v>934</v>
      </c>
      <c r="L8" s="1" t="s">
        <v>935</v>
      </c>
    </row>
    <row r="9" spans="1:12" ht="25.5">
      <c r="A9" s="1" t="s">
        <v>268</v>
      </c>
      <c r="B9" s="1" t="s">
        <v>540</v>
      </c>
      <c r="C9" s="1" t="s">
        <v>700</v>
      </c>
      <c r="D9" s="1" t="s">
        <v>162</v>
      </c>
      <c r="E9" s="1" t="s">
        <v>155</v>
      </c>
      <c r="F9" s="1">
        <v>4</v>
      </c>
      <c r="G9" s="2">
        <f>IF(F9="","",IFERROR(F9/MAX(1,COUNTIF('01_Конкуренты'!$B$4:$B$11,"?*")),""))</f>
        <v>0.5</v>
      </c>
      <c r="H9" s="1">
        <v>5</v>
      </c>
      <c r="I9" s="1" t="str">
        <f t="shared" si="0"/>
        <v>Формирующаяся норма</v>
      </c>
      <c r="J9" s="1" t="s">
        <v>701</v>
      </c>
      <c r="K9" s="1" t="s">
        <v>936</v>
      </c>
      <c r="L9" s="1" t="s">
        <v>935</v>
      </c>
    </row>
    <row r="10" spans="1:12" ht="25.5">
      <c r="A10" s="1" t="s">
        <v>269</v>
      </c>
      <c r="B10" s="1" t="s">
        <v>582</v>
      </c>
      <c r="C10" s="1" t="s">
        <v>702</v>
      </c>
      <c r="D10" s="1" t="s">
        <v>162</v>
      </c>
      <c r="E10" s="1" t="s">
        <v>327</v>
      </c>
      <c r="F10" s="1">
        <v>1</v>
      </c>
      <c r="G10" s="2">
        <f>IF(F10="","",IFERROR(F10/MAX(1,COUNTIF('01_Конкуренты'!$B$4:$B$11,"?*")),""))</f>
        <v>0.125</v>
      </c>
      <c r="H10" s="1">
        <v>5</v>
      </c>
      <c r="I10" s="1" t="str">
        <f t="shared" si="0"/>
        <v>Низкий приоритет</v>
      </c>
      <c r="J10" s="1" t="s">
        <v>703</v>
      </c>
      <c r="K10" s="1" t="s">
        <v>934</v>
      </c>
      <c r="L10" s="1" t="s">
        <v>937</v>
      </c>
    </row>
    <row r="11" spans="1:12" ht="25.5">
      <c r="A11" s="1" t="s">
        <v>270</v>
      </c>
      <c r="B11" s="1" t="s">
        <v>542</v>
      </c>
      <c r="C11" s="1" t="s">
        <v>704</v>
      </c>
      <c r="D11" s="1" t="s">
        <v>171</v>
      </c>
      <c r="E11" s="1" t="s">
        <v>178</v>
      </c>
      <c r="F11" s="1">
        <v>4</v>
      </c>
      <c r="G11" s="2">
        <f>IF(F11="","",IFERROR(F11/MAX(1,COUNTIF('01_Конкуренты'!$B$4:$B$11,"?*")),""))</f>
        <v>0.5</v>
      </c>
      <c r="H11" s="1">
        <v>5</v>
      </c>
      <c r="I11" s="1" t="str">
        <f t="shared" si="0"/>
        <v>Переходит в ожидаемое</v>
      </c>
      <c r="J11" s="1" t="s">
        <v>705</v>
      </c>
      <c r="K11" s="1" t="s">
        <v>938</v>
      </c>
      <c r="L11" s="1" t="s">
        <v>935</v>
      </c>
    </row>
    <row r="12" spans="1:12" ht="25.5">
      <c r="A12" s="1" t="s">
        <v>271</v>
      </c>
      <c r="B12" s="1" t="s">
        <v>544</v>
      </c>
      <c r="C12" s="1" t="s">
        <v>706</v>
      </c>
      <c r="D12" s="1" t="s">
        <v>171</v>
      </c>
      <c r="E12" s="1" t="s">
        <v>178</v>
      </c>
      <c r="F12" s="1">
        <v>5</v>
      </c>
      <c r="G12" s="2">
        <f>IF(F12="","",IFERROR(F12/MAX(1,COUNTIF('01_Конкуренты'!$B$4:$B$11,"?*")),""))</f>
        <v>0.625</v>
      </c>
      <c r="H12" s="1">
        <v>5</v>
      </c>
      <c r="I12" s="1" t="str">
        <f t="shared" si="0"/>
        <v>Переходит в ожидаемое</v>
      </c>
      <c r="J12" s="1" t="s">
        <v>707</v>
      </c>
      <c r="K12" s="1" t="s">
        <v>938</v>
      </c>
      <c r="L12" s="1" t="s">
        <v>932</v>
      </c>
    </row>
    <row r="13" spans="1:12" ht="25.5">
      <c r="A13" s="1" t="s">
        <v>272</v>
      </c>
      <c r="B13" s="1" t="s">
        <v>510</v>
      </c>
      <c r="C13" s="1" t="s">
        <v>708</v>
      </c>
      <c r="D13" s="1" t="s">
        <v>162</v>
      </c>
      <c r="E13" s="1" t="s">
        <v>155</v>
      </c>
      <c r="F13" s="1">
        <v>8</v>
      </c>
      <c r="G13" s="2">
        <f>IF(F13="","",IFERROR(F13/MAX(1,COUNTIF('01_Конкуренты'!$B$4:$B$11,"?*")),""))</f>
        <v>1</v>
      </c>
      <c r="H13" s="1">
        <v>3.33</v>
      </c>
      <c r="I13" s="1" t="str">
        <f t="shared" si="0"/>
        <v>Рыночный стандарт</v>
      </c>
      <c r="J13" s="1" t="s">
        <v>709</v>
      </c>
      <c r="K13" s="1" t="s">
        <v>931</v>
      </c>
      <c r="L13" s="1" t="s">
        <v>933</v>
      </c>
    </row>
    <row r="14" spans="1:12" ht="25.5">
      <c r="A14" s="1" t="s">
        <v>273</v>
      </c>
      <c r="B14" s="1" t="s">
        <v>529</v>
      </c>
      <c r="C14" s="1" t="s">
        <v>710</v>
      </c>
      <c r="D14" s="1" t="s">
        <v>171</v>
      </c>
      <c r="E14" s="1" t="s">
        <v>178</v>
      </c>
      <c r="F14" s="1">
        <v>5</v>
      </c>
      <c r="G14" s="2">
        <f>IF(F14="","",IFERROR(F14/MAX(1,COUNTIF('01_Конкуренты'!$B$4:$B$11,"?*")),""))</f>
        <v>0.625</v>
      </c>
      <c r="H14" s="1">
        <v>5</v>
      </c>
      <c r="I14" s="1" t="str">
        <f t="shared" si="0"/>
        <v>Переходит в ожидаемое</v>
      </c>
      <c r="J14" s="1" t="s">
        <v>707</v>
      </c>
      <c r="K14" s="1" t="s">
        <v>938</v>
      </c>
      <c r="L14" s="1" t="s">
        <v>932</v>
      </c>
    </row>
    <row r="15" spans="1:12" ht="25.5">
      <c r="A15" s="1" t="s">
        <v>274</v>
      </c>
      <c r="B15" s="1" t="s">
        <v>512</v>
      </c>
      <c r="C15" s="1" t="s">
        <v>711</v>
      </c>
      <c r="D15" s="1" t="s">
        <v>171</v>
      </c>
      <c r="E15" s="1" t="s">
        <v>178</v>
      </c>
      <c r="F15" s="1">
        <v>3</v>
      </c>
      <c r="G15" s="2">
        <f>IF(F15="","",IFERROR(F15/MAX(1,COUNTIF('01_Конкуренты'!$B$4:$B$11,"?*")),""))</f>
        <v>0.375</v>
      </c>
      <c r="H15" s="1">
        <v>3.33</v>
      </c>
      <c r="I15" s="1" t="str">
        <f t="shared" si="0"/>
        <v>Зона дифференциации</v>
      </c>
      <c r="J15" s="1" t="s">
        <v>712</v>
      </c>
      <c r="K15" s="1" t="s">
        <v>939</v>
      </c>
      <c r="L15" s="1" t="s">
        <v>940</v>
      </c>
    </row>
    <row r="16" spans="1:12" ht="25.5">
      <c r="A16" s="1" t="s">
        <v>275</v>
      </c>
      <c r="B16" s="1" t="s">
        <v>514</v>
      </c>
      <c r="C16" s="1" t="s">
        <v>713</v>
      </c>
      <c r="D16" s="1" t="s">
        <v>171</v>
      </c>
      <c r="E16" s="1" t="s">
        <v>155</v>
      </c>
      <c r="F16" s="1">
        <v>7</v>
      </c>
      <c r="G16" s="2">
        <f>IF(F16="","",IFERROR(F16/MAX(1,COUNTIF('01_Конкуренты'!$B$4:$B$11,"?*")),""))</f>
        <v>0.875</v>
      </c>
      <c r="H16" s="1">
        <v>3.33</v>
      </c>
      <c r="I16" s="1" t="str">
        <f t="shared" si="0"/>
        <v>Рыночный стандарт</v>
      </c>
      <c r="J16" s="1" t="s">
        <v>714</v>
      </c>
      <c r="K16" s="1" t="s">
        <v>931</v>
      </c>
      <c r="L16" s="1" t="s">
        <v>941</v>
      </c>
    </row>
    <row r="17" spans="1:12" ht="25.5">
      <c r="A17" s="1" t="s">
        <v>276</v>
      </c>
      <c r="B17" s="1" t="s">
        <v>546</v>
      </c>
      <c r="C17" s="1" t="s">
        <v>715</v>
      </c>
      <c r="D17" s="1" t="s">
        <v>171</v>
      </c>
      <c r="E17" s="1" t="s">
        <v>155</v>
      </c>
      <c r="F17" s="1">
        <v>4</v>
      </c>
      <c r="G17" s="2">
        <f>IF(F17="","",IFERROR(F17/MAX(1,COUNTIF('01_Конкуренты'!$B$4:$B$11,"?*")),""))</f>
        <v>0.5</v>
      </c>
      <c r="H17" s="1">
        <v>3.33</v>
      </c>
      <c r="I17" s="1" t="str">
        <f t="shared" si="0"/>
        <v>Формирующаяся норма</v>
      </c>
      <c r="J17" s="1" t="s">
        <v>701</v>
      </c>
      <c r="K17" s="1" t="s">
        <v>936</v>
      </c>
      <c r="L17" s="1" t="s">
        <v>935</v>
      </c>
    </row>
    <row r="18" spans="1:12" ht="25.5">
      <c r="A18" s="1" t="s">
        <v>277</v>
      </c>
      <c r="B18" s="1" t="s">
        <v>548</v>
      </c>
      <c r="C18" s="1" t="s">
        <v>716</v>
      </c>
      <c r="D18" s="1" t="s">
        <v>171</v>
      </c>
      <c r="E18" s="1" t="s">
        <v>155</v>
      </c>
      <c r="F18" s="1">
        <v>6</v>
      </c>
      <c r="G18" s="2">
        <f>IF(F18="","",IFERROR(F18/MAX(1,COUNTIF('01_Конкуренты'!$B$4:$B$11,"?*")),""))</f>
        <v>0.75</v>
      </c>
      <c r="H18" s="1">
        <v>3.33</v>
      </c>
      <c r="I18" s="1" t="str">
        <f t="shared" si="0"/>
        <v>Рыночный стандарт</v>
      </c>
      <c r="J18" s="1" t="s">
        <v>717</v>
      </c>
      <c r="K18" s="1" t="s">
        <v>931</v>
      </c>
      <c r="L18" s="1" t="s">
        <v>942</v>
      </c>
    </row>
    <row r="19" spans="1:12" ht="25.5">
      <c r="A19" s="1" t="s">
        <v>278</v>
      </c>
      <c r="B19" s="1" t="s">
        <v>550</v>
      </c>
      <c r="C19" s="1" t="s">
        <v>718</v>
      </c>
      <c r="D19" s="1" t="s">
        <v>171</v>
      </c>
      <c r="E19" s="1" t="s">
        <v>327</v>
      </c>
      <c r="F19" s="1">
        <v>5</v>
      </c>
      <c r="G19" s="2">
        <f>IF(F19="","",IFERROR(F19/MAX(1,COUNTIF('01_Конкуренты'!$B$4:$B$11,"?*")),""))</f>
        <v>0.625</v>
      </c>
      <c r="H19" s="1">
        <v>5</v>
      </c>
      <c r="I19" s="1" t="str">
        <f t="shared" si="0"/>
        <v>Низкий приоритет</v>
      </c>
      <c r="J19" s="1" t="s">
        <v>719</v>
      </c>
      <c r="K19" s="1" t="s">
        <v>934</v>
      </c>
      <c r="L19" s="1" t="s">
        <v>932</v>
      </c>
    </row>
    <row r="20" spans="1:12" ht="25.5">
      <c r="A20" s="1" t="s">
        <v>279</v>
      </c>
      <c r="B20" s="1" t="s">
        <v>552</v>
      </c>
      <c r="C20" s="1" t="s">
        <v>720</v>
      </c>
      <c r="D20" s="1" t="s">
        <v>162</v>
      </c>
      <c r="E20" s="1" t="s">
        <v>159</v>
      </c>
      <c r="F20" s="1">
        <v>5</v>
      </c>
      <c r="G20" s="2">
        <f>IF(F20="","",IFERROR(F20/MAX(1,COUNTIF('01_Конкуренты'!$B$4:$B$11,"?*")),""))</f>
        <v>0.625</v>
      </c>
      <c r="H20" s="1">
        <v>3.33</v>
      </c>
      <c r="I20" s="1" t="str">
        <f t="shared" si="0"/>
        <v>Рыночный стандарт</v>
      </c>
      <c r="J20" s="1" t="s">
        <v>693</v>
      </c>
      <c r="K20" s="1" t="s">
        <v>931</v>
      </c>
      <c r="L20" s="1" t="s">
        <v>932</v>
      </c>
    </row>
    <row r="21" spans="1:12" ht="25.5">
      <c r="A21" s="1" t="s">
        <v>280</v>
      </c>
      <c r="B21" s="1" t="s">
        <v>587</v>
      </c>
      <c r="C21" s="1" t="s">
        <v>721</v>
      </c>
      <c r="D21" s="1" t="s">
        <v>162</v>
      </c>
      <c r="E21" s="1" t="s">
        <v>155</v>
      </c>
      <c r="F21" s="1">
        <v>3</v>
      </c>
      <c r="G21" s="2">
        <f>IF(F21="","",IFERROR(F21/MAX(1,COUNTIF('01_Конкуренты'!$B$4:$B$11,"?*")),""))</f>
        <v>0.375</v>
      </c>
      <c r="H21" s="1">
        <v>5</v>
      </c>
      <c r="I21" s="1" t="str">
        <f t="shared" si="0"/>
        <v>Формирующаяся норма</v>
      </c>
      <c r="J21" s="1" t="s">
        <v>722</v>
      </c>
      <c r="K21" s="1" t="s">
        <v>936</v>
      </c>
      <c r="L21" s="1" t="s">
        <v>940</v>
      </c>
    </row>
    <row r="22" spans="1:12" ht="25.5">
      <c r="A22" s="1" t="s">
        <v>281</v>
      </c>
      <c r="B22" s="1" t="s">
        <v>554</v>
      </c>
      <c r="C22" s="1" t="s">
        <v>723</v>
      </c>
      <c r="D22" s="1" t="s">
        <v>162</v>
      </c>
      <c r="E22" s="1" t="s">
        <v>155</v>
      </c>
      <c r="F22" s="1">
        <v>6</v>
      </c>
      <c r="G22" s="2">
        <f>IF(F22="","",IFERROR(F22/MAX(1,COUNTIF('01_Конкуренты'!$B$4:$B$11,"?*")),""))</f>
        <v>0.75</v>
      </c>
      <c r="H22" s="1">
        <v>5</v>
      </c>
      <c r="I22" s="1" t="str">
        <f t="shared" si="0"/>
        <v>Рыночный стандарт</v>
      </c>
      <c r="J22" s="1" t="s">
        <v>717</v>
      </c>
      <c r="K22" s="1" t="s">
        <v>931</v>
      </c>
      <c r="L22" s="1" t="s">
        <v>942</v>
      </c>
    </row>
    <row r="23" spans="1:12" ht="25.5">
      <c r="A23" s="1" t="s">
        <v>282</v>
      </c>
      <c r="B23" s="1" t="s">
        <v>516</v>
      </c>
      <c r="C23" s="1" t="s">
        <v>724</v>
      </c>
      <c r="D23" s="1" t="s">
        <v>162</v>
      </c>
      <c r="E23" s="1" t="s">
        <v>159</v>
      </c>
      <c r="F23" s="1">
        <v>8</v>
      </c>
      <c r="G23" s="2">
        <f>IF(F23="","",IFERROR(F23/MAX(1,COUNTIF('01_Конкуренты'!$B$4:$B$11,"?*")),""))</f>
        <v>1</v>
      </c>
      <c r="H23" s="1">
        <v>5</v>
      </c>
      <c r="I23" s="1" t="str">
        <f t="shared" si="0"/>
        <v>Рыночный стандарт</v>
      </c>
      <c r="J23" s="1" t="s">
        <v>695</v>
      </c>
      <c r="K23" s="1" t="s">
        <v>931</v>
      </c>
      <c r="L23" s="1" t="s">
        <v>933</v>
      </c>
    </row>
    <row r="24" spans="1:12" ht="25.5">
      <c r="A24" s="1" t="s">
        <v>283</v>
      </c>
      <c r="B24" s="1" t="s">
        <v>556</v>
      </c>
      <c r="C24" s="1" t="s">
        <v>725</v>
      </c>
      <c r="D24" s="1" t="s">
        <v>171</v>
      </c>
      <c r="E24" s="1" t="s">
        <v>155</v>
      </c>
      <c r="F24" s="1">
        <v>5</v>
      </c>
      <c r="G24" s="2">
        <f>IF(F24="","",IFERROR(F24/MAX(1,COUNTIF('01_Конкуренты'!$B$4:$B$11,"?*")),""))</f>
        <v>0.625</v>
      </c>
      <c r="H24" s="1">
        <v>5</v>
      </c>
      <c r="I24" s="1" t="str">
        <f t="shared" si="0"/>
        <v>Рыночный стандарт</v>
      </c>
      <c r="J24" s="1" t="s">
        <v>697</v>
      </c>
      <c r="K24" s="1" t="s">
        <v>931</v>
      </c>
      <c r="L24" s="1" t="s">
        <v>932</v>
      </c>
    </row>
    <row r="25" spans="1:12" ht="25.5">
      <c r="A25" s="1" t="s">
        <v>284</v>
      </c>
      <c r="B25" s="1" t="s">
        <v>518</v>
      </c>
      <c r="C25" s="1" t="s">
        <v>726</v>
      </c>
      <c r="D25" s="1" t="s">
        <v>162</v>
      </c>
      <c r="E25" s="1" t="s">
        <v>159</v>
      </c>
      <c r="F25" s="1">
        <v>6</v>
      </c>
      <c r="G25" s="2">
        <f>IF(F25="","",IFERROR(F25/MAX(1,COUNTIF('01_Конкуренты'!$B$4:$B$11,"?*")),""))</f>
        <v>0.75</v>
      </c>
      <c r="H25" s="1">
        <v>5</v>
      </c>
      <c r="I25" s="1" t="str">
        <f t="shared" si="0"/>
        <v>Рыночный стандарт</v>
      </c>
      <c r="J25" s="1" t="s">
        <v>727</v>
      </c>
      <c r="K25" s="1" t="s">
        <v>931</v>
      </c>
      <c r="L25" s="1" t="s">
        <v>942</v>
      </c>
    </row>
    <row r="26" spans="1:12" ht="25.5">
      <c r="A26" s="1" t="s">
        <v>285</v>
      </c>
      <c r="B26" s="1" t="s">
        <v>520</v>
      </c>
      <c r="C26" s="1" t="s">
        <v>728</v>
      </c>
      <c r="D26" s="1" t="s">
        <v>162</v>
      </c>
      <c r="E26" s="1" t="s">
        <v>159</v>
      </c>
      <c r="F26" s="1">
        <v>4</v>
      </c>
      <c r="G26" s="2">
        <f>IF(F26="","",IFERROR(F26/MAX(1,COUNTIF('01_Конкуренты'!$B$4:$B$11,"?*")),""))</f>
        <v>0.5</v>
      </c>
      <c r="H26" s="1">
        <v>5</v>
      </c>
      <c r="I26" s="1" t="str">
        <f t="shared" si="0"/>
        <v>Формирующаяся норма</v>
      </c>
      <c r="J26" s="1" t="s">
        <v>729</v>
      </c>
      <c r="K26" s="1" t="s">
        <v>936</v>
      </c>
      <c r="L26" s="1" t="s">
        <v>935</v>
      </c>
    </row>
    <row r="27" spans="1:12" ht="25.5">
      <c r="A27" s="1" t="s">
        <v>286</v>
      </c>
      <c r="B27" s="1" t="s">
        <v>570</v>
      </c>
      <c r="C27" s="1" t="s">
        <v>730</v>
      </c>
      <c r="D27" s="1" t="s">
        <v>171</v>
      </c>
      <c r="E27" s="1" t="s">
        <v>155</v>
      </c>
      <c r="F27" s="1">
        <v>3</v>
      </c>
      <c r="G27" s="2">
        <f>IF(F27="","",IFERROR(F27/MAX(1,COUNTIF('01_Конкуренты'!$B$4:$B$11,"?*")),""))</f>
        <v>0.375</v>
      </c>
      <c r="H27" s="1">
        <v>5</v>
      </c>
      <c r="I27" s="1" t="str">
        <f t="shared" si="0"/>
        <v>Формирующаяся норма</v>
      </c>
      <c r="J27" s="1" t="s">
        <v>722</v>
      </c>
      <c r="K27" s="1" t="s">
        <v>936</v>
      </c>
      <c r="L27" s="1" t="s">
        <v>940</v>
      </c>
    </row>
    <row r="28" spans="1:12" ht="25.5">
      <c r="A28" s="1" t="s">
        <v>287</v>
      </c>
      <c r="B28" s="1" t="s">
        <v>522</v>
      </c>
      <c r="C28" s="1" t="s">
        <v>731</v>
      </c>
      <c r="D28" s="1" t="s">
        <v>171</v>
      </c>
      <c r="E28" s="1" t="s">
        <v>155</v>
      </c>
      <c r="F28" s="1">
        <v>6</v>
      </c>
      <c r="G28" s="2">
        <f>IF(F28="","",IFERROR(F28/MAX(1,COUNTIF('01_Конкуренты'!$B$4:$B$11,"?*")),""))</f>
        <v>0.75</v>
      </c>
      <c r="H28" s="1">
        <v>5</v>
      </c>
      <c r="I28" s="1" t="str">
        <f t="shared" si="0"/>
        <v>Рыночный стандарт</v>
      </c>
      <c r="J28" s="1" t="s">
        <v>717</v>
      </c>
      <c r="K28" s="1" t="s">
        <v>931</v>
      </c>
      <c r="L28" s="1" t="s">
        <v>942</v>
      </c>
    </row>
    <row r="29" spans="1:12" ht="25.5">
      <c r="A29" s="1" t="s">
        <v>288</v>
      </c>
      <c r="B29" s="1" t="s">
        <v>892</v>
      </c>
      <c r="C29" s="1" t="s">
        <v>732</v>
      </c>
      <c r="D29" s="1" t="s">
        <v>171</v>
      </c>
      <c r="E29" s="1" t="s">
        <v>178</v>
      </c>
      <c r="F29" s="1">
        <v>4</v>
      </c>
      <c r="G29" s="2">
        <f>IF(F29="","",IFERROR(F29/MAX(1,COUNTIF('01_Конкуренты'!$B$4:$B$11,"?*")),""))</f>
        <v>0.5</v>
      </c>
      <c r="H29" s="1">
        <v>3.33</v>
      </c>
      <c r="I29" s="1" t="str">
        <f t="shared" si="0"/>
        <v>Переходит в ожидаемое</v>
      </c>
      <c r="J29" s="1" t="s">
        <v>705</v>
      </c>
      <c r="K29" s="1" t="s">
        <v>938</v>
      </c>
      <c r="L29" s="1" t="s">
        <v>935</v>
      </c>
    </row>
    <row r="30" spans="1:12" ht="25.5">
      <c r="A30" s="1" t="s">
        <v>289</v>
      </c>
      <c r="B30" s="1" t="s">
        <v>524</v>
      </c>
      <c r="C30" s="1" t="s">
        <v>733</v>
      </c>
      <c r="D30" s="1" t="s">
        <v>171</v>
      </c>
      <c r="E30" s="1" t="s">
        <v>327</v>
      </c>
      <c r="F30" s="1">
        <v>3</v>
      </c>
      <c r="G30" s="2">
        <f>IF(F30="","",IFERROR(F30/MAX(1,COUNTIF('01_Конкуренты'!$B$4:$B$11,"?*")),""))</f>
        <v>0.375</v>
      </c>
      <c r="H30" s="1">
        <v>3.33</v>
      </c>
      <c r="I30" s="1" t="str">
        <f t="shared" si="0"/>
        <v>Низкий приоритет</v>
      </c>
      <c r="J30" s="1" t="s">
        <v>734</v>
      </c>
      <c r="K30" s="1" t="s">
        <v>934</v>
      </c>
      <c r="L30" s="1" t="s">
        <v>940</v>
      </c>
    </row>
    <row r="31" spans="1:12" ht="25.5">
      <c r="A31" s="1" t="s">
        <v>290</v>
      </c>
      <c r="B31" s="1" t="s">
        <v>572</v>
      </c>
      <c r="C31" s="1" t="s">
        <v>735</v>
      </c>
      <c r="D31" s="1" t="s">
        <v>171</v>
      </c>
      <c r="E31" s="1" t="s">
        <v>178</v>
      </c>
      <c r="F31" s="1">
        <v>1</v>
      </c>
      <c r="G31" s="2">
        <f>IF(F31="","",IFERROR(F31/MAX(1,COUNTIF('01_Конкуренты'!$B$4:$B$11,"?*")),""))</f>
        <v>0.125</v>
      </c>
      <c r="H31" s="1">
        <v>3.33</v>
      </c>
      <c r="I31" s="1" t="str">
        <f t="shared" si="0"/>
        <v>Зона дифференциации</v>
      </c>
      <c r="J31" s="1" t="s">
        <v>736</v>
      </c>
      <c r="K31" s="1" t="s">
        <v>939</v>
      </c>
      <c r="L31" s="1" t="s">
        <v>937</v>
      </c>
    </row>
    <row r="32" spans="1:12" ht="25.5">
      <c r="A32" s="1" t="s">
        <v>291</v>
      </c>
      <c r="B32" s="1" t="s">
        <v>558</v>
      </c>
      <c r="C32" s="1" t="s">
        <v>737</v>
      </c>
      <c r="D32" s="1" t="s">
        <v>177</v>
      </c>
      <c r="E32" s="1" t="s">
        <v>178</v>
      </c>
      <c r="F32" s="1">
        <v>4</v>
      </c>
      <c r="G32" s="2">
        <f>IF(F32="","",IFERROR(F32/MAX(1,COUNTIF('01_Конкуренты'!$B$4:$B$11,"?*")),""))</f>
        <v>0.5</v>
      </c>
      <c r="H32" s="1">
        <v>3.33</v>
      </c>
      <c r="I32" s="1" t="str">
        <f t="shared" si="0"/>
        <v>Переходит в ожидаемое</v>
      </c>
      <c r="J32" s="1" t="s">
        <v>705</v>
      </c>
      <c r="K32" s="1" t="s">
        <v>938</v>
      </c>
      <c r="L32" s="1" t="s">
        <v>935</v>
      </c>
    </row>
  </sheetData>
  <mergeCells count="2">
    <mergeCell ref="A1:L1"/>
    <mergeCell ref="A2:L2"/>
  </mergeCells>
  <conditionalFormatting sqref="G4:G32">
    <cfRule type="dataBar" priority="6">
      <dataBar>
        <cfvo type="min"/>
        <cfvo type="max"/>
        <color rgb="FF34D399"/>
      </dataBar>
    </cfRule>
    <cfRule type="dataBar" priority="7">
      <dataBar>
        <cfvo type="min"/>
        <cfvo type="max"/>
        <color rgb="FF34D399"/>
      </dataBar>
      <extLst>
        <ext xmlns:x14="http://schemas.microsoft.com/office/spreadsheetml/2009/9/main" uri="{B025F937-C7B1-47D3-B67F-A62EFF666E3E}">
          <x14:id>{B144901E-EEF7-CD91-6EF2-5554ADE5D379}</x14:id>
        </ext>
      </extLst>
    </cfRule>
  </conditionalFormatting>
  <dataValidations count="3">
    <dataValidation type="list" sqref="D4:D32" xr:uid="{00000000-0002-0000-0700-000000000000}">
      <formula1>"1. Базовая выгода,2. Родовой товар,3. Ожидаемый товар,4. Расширенный товар,5. Потенциальный товар"</formula1>
    </dataValidation>
    <dataValidation type="list" sqref="E4:E32" xr:uid="{00000000-0002-0000-0700-000001000000}">
      <formula1>"Обязательное,Линейное,Привлекательное,Безразличное,Обратное,Неясное"</formula1>
    </dataValidation>
    <dataValidation type="list" sqref="H4:H32" xr:uid="{00000000-0002-0000-0700-000002000000}">
      <formula1>"0,1,2,3,4,5"</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144901E-EEF7-CD91-6EF2-5554ADE5D379}">
            <x14:dataBar>
              <x14:cfvo type="min"/>
              <x14:cfvo type="max"/>
              <x14:negativeFillColor auto="1"/>
              <x14:axisColor auto="1"/>
            </x14:dataBar>
          </x14:cfRule>
          <xm:sqref>G4:G32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1"/>
  <sheetViews>
    <sheetView workbookViewId="0">
      <selection activeCell="C26" sqref="C26"/>
    </sheetView>
  </sheetViews>
  <sheetFormatPr defaultRowHeight="14.25"/>
  <cols>
    <col min="1" max="1" width="19.25" customWidth="1"/>
    <col min="2" max="2" width="14.625" customWidth="1"/>
    <col min="3" max="4" width="55.625" customWidth="1"/>
    <col min="5" max="5" width="28" customWidth="1"/>
    <col min="6" max="6" width="20" customWidth="1"/>
    <col min="7" max="7" width="26" customWidth="1"/>
    <col min="8" max="9" width="16" customWidth="1"/>
    <col min="10" max="10" width="31.625" customWidth="1"/>
    <col min="11" max="11" width="29.625" customWidth="1"/>
    <col min="12" max="12" width="20.625" customWidth="1"/>
    <col min="13" max="13" width="28.625" customWidth="1"/>
    <col min="14" max="14" width="44" customWidth="1"/>
  </cols>
  <sheetData>
    <row r="1" spans="1:14" ht="20.25">
      <c r="A1" s="22" t="s">
        <v>292</v>
      </c>
      <c r="B1" s="22"/>
      <c r="C1" s="22"/>
      <c r="D1" s="22"/>
      <c r="E1" s="22"/>
      <c r="F1" s="22"/>
      <c r="G1" s="22"/>
      <c r="H1" s="22"/>
      <c r="I1" s="22"/>
      <c r="J1" s="22"/>
      <c r="K1" s="22"/>
      <c r="L1" s="22"/>
      <c r="M1" s="22"/>
      <c r="N1" s="22"/>
    </row>
    <row r="2" spans="1:14" ht="15" customHeight="1">
      <c r="A2" s="23" t="s">
        <v>841</v>
      </c>
      <c r="B2" s="23"/>
      <c r="C2" s="23"/>
      <c r="D2" s="23"/>
      <c r="E2" s="23"/>
      <c r="F2" s="23"/>
      <c r="G2" s="23"/>
      <c r="H2" s="23"/>
      <c r="I2" s="23"/>
      <c r="J2" s="23"/>
      <c r="K2" s="23"/>
      <c r="L2" s="23"/>
      <c r="M2" s="23"/>
      <c r="N2" s="23"/>
    </row>
    <row r="3" spans="1:14">
      <c r="A3" s="9" t="s">
        <v>48</v>
      </c>
      <c r="B3" s="9" t="s">
        <v>68</v>
      </c>
      <c r="C3" s="9" t="s">
        <v>293</v>
      </c>
      <c r="D3" s="9" t="s">
        <v>294</v>
      </c>
      <c r="E3" s="9" t="s">
        <v>258</v>
      </c>
      <c r="F3" s="9" t="s">
        <v>97</v>
      </c>
      <c r="G3" s="9" t="s">
        <v>295</v>
      </c>
      <c r="H3" s="9" t="s">
        <v>296</v>
      </c>
      <c r="I3" s="9" t="s">
        <v>297</v>
      </c>
      <c r="J3" s="9" t="s">
        <v>298</v>
      </c>
      <c r="K3" s="9" t="s">
        <v>299</v>
      </c>
      <c r="L3" s="9" t="s">
        <v>300</v>
      </c>
      <c r="M3" s="9" t="s">
        <v>301</v>
      </c>
      <c r="N3" s="9" t="s">
        <v>302</v>
      </c>
    </row>
    <row r="4" spans="1:14" ht="25.5">
      <c r="A4" s="1" t="s">
        <v>303</v>
      </c>
      <c r="B4" s="1" t="s">
        <v>65</v>
      </c>
      <c r="C4" s="1" t="s">
        <v>738</v>
      </c>
      <c r="D4" s="1" t="s">
        <v>739</v>
      </c>
      <c r="E4" s="1" t="s">
        <v>171</v>
      </c>
      <c r="F4" s="1" t="s">
        <v>178</v>
      </c>
      <c r="G4" s="1" t="s">
        <v>347</v>
      </c>
      <c r="H4" s="1">
        <v>4</v>
      </c>
      <c r="I4" s="1">
        <v>5</v>
      </c>
      <c r="J4" s="1">
        <v>4</v>
      </c>
      <c r="K4" s="1">
        <v>5</v>
      </c>
      <c r="L4" s="1">
        <f t="shared" ref="L4:L11" si="0">IF(OR(H4="",I4="",J4="",K4=""),"",ROUND(H4*0.25+I4*0.25+J4*0.3+K4*0.2,2))</f>
        <v>4.45</v>
      </c>
      <c r="M4" s="1" t="str">
        <f t="shared" ref="M4:M11" si="1">IF(L4="","",IF(L4&gt;=4.2,"Сильное преимущество",IF(L4&gt;=3.4,"Потенциальное преимущество",IF(L4&gt;=2.5,"Слабое преимущество","Не считать преимуществом"))))</f>
        <v>Сильное преимущество</v>
      </c>
      <c r="N4" s="1" t="s">
        <v>943</v>
      </c>
    </row>
    <row r="5" spans="1:14" ht="25.5">
      <c r="A5" s="1" t="s">
        <v>304</v>
      </c>
      <c r="B5" s="1" t="s">
        <v>62</v>
      </c>
      <c r="C5" s="1" t="s">
        <v>740</v>
      </c>
      <c r="D5" s="1" t="s">
        <v>741</v>
      </c>
      <c r="E5" s="1" t="s">
        <v>171</v>
      </c>
      <c r="F5" s="1" t="s">
        <v>178</v>
      </c>
      <c r="G5" s="1" t="s">
        <v>354</v>
      </c>
      <c r="H5" s="1">
        <v>5</v>
      </c>
      <c r="I5" s="1">
        <v>4</v>
      </c>
      <c r="J5" s="1">
        <v>4</v>
      </c>
      <c r="K5" s="1">
        <v>5</v>
      </c>
      <c r="L5" s="1">
        <f t="shared" si="0"/>
        <v>4.45</v>
      </c>
      <c r="M5" s="1" t="str">
        <f t="shared" si="1"/>
        <v>Сильное преимущество</v>
      </c>
      <c r="N5" s="1" t="s">
        <v>943</v>
      </c>
    </row>
    <row r="6" spans="1:14" ht="25.5">
      <c r="A6" s="1" t="s">
        <v>305</v>
      </c>
      <c r="B6" s="1" t="s">
        <v>64</v>
      </c>
      <c r="C6" s="1" t="s">
        <v>742</v>
      </c>
      <c r="D6" s="1" t="s">
        <v>743</v>
      </c>
      <c r="E6" s="1" t="s">
        <v>171</v>
      </c>
      <c r="F6" s="1" t="s">
        <v>155</v>
      </c>
      <c r="G6" s="1" t="s">
        <v>351</v>
      </c>
      <c r="H6" s="1">
        <v>2</v>
      </c>
      <c r="I6" s="1">
        <v>5</v>
      </c>
      <c r="J6" s="1">
        <v>4</v>
      </c>
      <c r="K6" s="1">
        <v>5</v>
      </c>
      <c r="L6" s="1">
        <f t="shared" si="0"/>
        <v>3.95</v>
      </c>
      <c r="M6" s="1" t="str">
        <f t="shared" si="1"/>
        <v>Потенциальное преимущество</v>
      </c>
      <c r="N6" s="1" t="s">
        <v>944</v>
      </c>
    </row>
    <row r="7" spans="1:14" ht="25.5">
      <c r="A7" s="1" t="s">
        <v>306</v>
      </c>
      <c r="B7" s="1" t="s">
        <v>63</v>
      </c>
      <c r="C7" s="1" t="s">
        <v>744</v>
      </c>
      <c r="D7" s="1" t="s">
        <v>745</v>
      </c>
      <c r="E7" s="1" t="s">
        <v>162</v>
      </c>
      <c r="F7" s="1" t="s">
        <v>178</v>
      </c>
      <c r="G7" s="1" t="s">
        <v>348</v>
      </c>
      <c r="H7" s="1">
        <v>3</v>
      </c>
      <c r="I7" s="1">
        <v>5</v>
      </c>
      <c r="J7" s="1">
        <v>5</v>
      </c>
      <c r="K7" s="1">
        <v>4</v>
      </c>
      <c r="L7" s="1">
        <f t="shared" si="0"/>
        <v>4.3</v>
      </c>
      <c r="M7" s="1" t="str">
        <f t="shared" si="1"/>
        <v>Сильное преимущество</v>
      </c>
      <c r="N7" s="1" t="s">
        <v>943</v>
      </c>
    </row>
    <row r="8" spans="1:14" ht="25.5">
      <c r="A8" s="1" t="s">
        <v>307</v>
      </c>
      <c r="B8" s="1" t="s">
        <v>60</v>
      </c>
      <c r="C8" s="1" t="s">
        <v>926</v>
      </c>
      <c r="D8" s="1" t="s">
        <v>746</v>
      </c>
      <c r="E8" s="1" t="s">
        <v>171</v>
      </c>
      <c r="F8" s="1" t="s">
        <v>178</v>
      </c>
      <c r="G8" s="1" t="s">
        <v>353</v>
      </c>
      <c r="H8" s="1">
        <v>3</v>
      </c>
      <c r="I8" s="1">
        <v>5</v>
      </c>
      <c r="J8" s="1">
        <v>4</v>
      </c>
      <c r="K8" s="1">
        <v>5</v>
      </c>
      <c r="L8" s="1">
        <f t="shared" si="0"/>
        <v>4.2</v>
      </c>
      <c r="M8" s="1" t="str">
        <f t="shared" si="1"/>
        <v>Сильное преимущество</v>
      </c>
      <c r="N8" s="1" t="s">
        <v>943</v>
      </c>
    </row>
    <row r="9" spans="1:14" ht="25.5">
      <c r="A9" s="1" t="s">
        <v>308</v>
      </c>
      <c r="B9" s="1" t="s">
        <v>59</v>
      </c>
      <c r="C9" s="1" t="s">
        <v>747</v>
      </c>
      <c r="D9" s="1" t="s">
        <v>748</v>
      </c>
      <c r="E9" s="1" t="s">
        <v>158</v>
      </c>
      <c r="F9" s="1" t="s">
        <v>159</v>
      </c>
      <c r="G9" s="1" t="s">
        <v>347</v>
      </c>
      <c r="H9" s="1">
        <v>3</v>
      </c>
      <c r="I9" s="1">
        <v>4</v>
      </c>
      <c r="J9" s="1">
        <v>4</v>
      </c>
      <c r="K9" s="1">
        <v>4</v>
      </c>
      <c r="L9" s="1">
        <f t="shared" si="0"/>
        <v>3.75</v>
      </c>
      <c r="M9" s="1" t="str">
        <f t="shared" si="1"/>
        <v>Потенциальное преимущество</v>
      </c>
      <c r="N9" s="1" t="s">
        <v>944</v>
      </c>
    </row>
    <row r="10" spans="1:14" ht="25.5">
      <c r="A10" s="1" t="s">
        <v>309</v>
      </c>
      <c r="B10" s="1" t="s">
        <v>61</v>
      </c>
      <c r="C10" s="1" t="s">
        <v>749</v>
      </c>
      <c r="D10" s="1" t="s">
        <v>750</v>
      </c>
      <c r="E10" s="1" t="s">
        <v>162</v>
      </c>
      <c r="F10" s="1" t="s">
        <v>178</v>
      </c>
      <c r="G10" s="1" t="s">
        <v>348</v>
      </c>
      <c r="H10" s="1">
        <v>3</v>
      </c>
      <c r="I10" s="1">
        <v>4</v>
      </c>
      <c r="J10" s="1">
        <v>4</v>
      </c>
      <c r="K10" s="1">
        <v>5</v>
      </c>
      <c r="L10" s="1">
        <f t="shared" si="0"/>
        <v>3.95</v>
      </c>
      <c r="M10" s="1" t="str">
        <f t="shared" si="1"/>
        <v>Потенциальное преимущество</v>
      </c>
      <c r="N10" s="1" t="s">
        <v>944</v>
      </c>
    </row>
    <row r="11" spans="1:14" ht="25.5">
      <c r="A11" s="1" t="s">
        <v>310</v>
      </c>
      <c r="B11" s="1" t="s">
        <v>66</v>
      </c>
      <c r="C11" s="1" t="s">
        <v>751</v>
      </c>
      <c r="D11" s="1" t="s">
        <v>752</v>
      </c>
      <c r="E11" s="1" t="s">
        <v>171</v>
      </c>
      <c r="F11" s="1" t="s">
        <v>178</v>
      </c>
      <c r="G11" s="1" t="s">
        <v>348</v>
      </c>
      <c r="H11" s="1">
        <v>3</v>
      </c>
      <c r="I11" s="1">
        <v>3</v>
      </c>
      <c r="J11" s="1">
        <v>3</v>
      </c>
      <c r="K11" s="1">
        <v>5</v>
      </c>
      <c r="L11" s="1">
        <f t="shared" si="0"/>
        <v>3.4</v>
      </c>
      <c r="M11" s="1" t="str">
        <f t="shared" si="1"/>
        <v>Потенциальное преимущество</v>
      </c>
      <c r="N11" s="1" t="s">
        <v>944</v>
      </c>
    </row>
  </sheetData>
  <mergeCells count="2">
    <mergeCell ref="A1:N1"/>
    <mergeCell ref="A2:N2"/>
  </mergeCells>
  <conditionalFormatting sqref="L4:L11">
    <cfRule type="colorScale" priority="8">
      <colorScale>
        <cfvo type="min"/>
        <cfvo type="percentile" val="50"/>
        <cfvo type="max"/>
        <color rgb="FFFEE2E2"/>
        <color rgb="FFFEF3C7"/>
        <color rgb="FFDCFCE7"/>
      </colorScale>
    </cfRule>
  </conditionalFormatting>
  <dataValidations count="4">
    <dataValidation type="list" sqref="E4:E11" xr:uid="{00000000-0002-0000-0800-000000000000}">
      <formula1>"1. Базовая выгода,2. Родовой товар,3. Ожидаемый товар,4. Расширенный товар,5. Потенциальный товар"</formula1>
    </dataValidation>
    <dataValidation type="list" sqref="F4:F11" xr:uid="{00000000-0002-0000-0800-000001000000}">
      <formula1>"Обязательное,Линейное,Привлекательное,Безразличное,Обратное,Неясное"</formula1>
    </dataValidation>
    <dataValidation type="list" sqref="G4:G11" xr:uid="{00000000-0002-0000-0800-000002000000}">
      <formula1>"Функциональное,Экономическое,Интерфейсное,Сервисное,Доверительное,Данные и аналитика,Сетевой эффект,Интеграционное,Контентное"</formula1>
    </dataValidation>
    <dataValidation type="list" sqref="H4:K11" xr:uid="{00000000-0002-0000-0800-000003000000}">
      <formula1>"1,2,3,4,5"</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5"/>
  <sheetViews>
    <sheetView zoomScale="70" zoomScaleNormal="70" workbookViewId="0">
      <selection activeCell="D49" sqref="D49"/>
    </sheetView>
  </sheetViews>
  <sheetFormatPr defaultRowHeight="14.25"/>
  <cols>
    <col min="1" max="1" width="28" customWidth="1"/>
    <col min="2" max="2" width="14" customWidth="1"/>
    <col min="3" max="3" width="18" customWidth="1"/>
    <col min="4" max="4" width="48" customWidth="1"/>
    <col min="6" max="6" width="22" customWidth="1"/>
    <col min="7" max="8" width="14" customWidth="1"/>
    <col min="10" max="10" width="28" customWidth="1"/>
    <col min="11" max="12" width="16" customWidth="1"/>
  </cols>
  <sheetData>
    <row r="1" spans="1:14" ht="16.149999999999999" customHeight="1">
      <c r="A1" s="22" t="s">
        <v>311</v>
      </c>
      <c r="B1" s="22"/>
      <c r="C1" s="22"/>
      <c r="D1" s="22"/>
      <c r="E1" s="22"/>
      <c r="F1" s="22"/>
      <c r="G1" s="22"/>
      <c r="H1" s="22"/>
      <c r="I1" s="22"/>
      <c r="J1" s="22"/>
      <c r="K1" s="22"/>
      <c r="L1" s="22"/>
      <c r="M1" s="22"/>
      <c r="N1" s="22"/>
    </row>
    <row r="2" spans="1:14" ht="21" customHeight="1">
      <c r="A2" s="23" t="s">
        <v>842</v>
      </c>
      <c r="B2" s="23"/>
      <c r="C2" s="23"/>
      <c r="D2" s="23"/>
      <c r="E2" s="23"/>
      <c r="F2" s="23"/>
      <c r="G2" s="23"/>
      <c r="H2" s="23"/>
      <c r="I2" s="23"/>
      <c r="J2" s="23"/>
      <c r="K2" s="23"/>
      <c r="L2" s="23"/>
      <c r="M2" s="23"/>
      <c r="N2" s="23"/>
    </row>
    <row r="3" spans="1:14">
      <c r="A3" s="8"/>
      <c r="B3" s="8"/>
      <c r="C3" s="8"/>
      <c r="D3" s="8"/>
      <c r="E3" s="8"/>
      <c r="F3" s="8"/>
      <c r="G3" s="8"/>
      <c r="H3" s="8"/>
      <c r="I3" s="8"/>
      <c r="J3" s="8"/>
      <c r="K3" s="8"/>
      <c r="L3" s="8"/>
      <c r="M3" s="8"/>
      <c r="N3" s="8"/>
    </row>
    <row r="4" spans="1:14" ht="17.100000000000001" customHeight="1">
      <c r="A4" s="9" t="s">
        <v>312</v>
      </c>
      <c r="B4" s="9" t="s">
        <v>313</v>
      </c>
      <c r="C4" s="9" t="s">
        <v>314</v>
      </c>
      <c r="D4" s="9" t="s">
        <v>58</v>
      </c>
      <c r="E4" s="8"/>
      <c r="F4" s="9" t="s">
        <v>97</v>
      </c>
      <c r="G4" s="9" t="s">
        <v>315</v>
      </c>
      <c r="H4" s="9" t="s">
        <v>316</v>
      </c>
      <c r="I4" s="8"/>
      <c r="J4" s="9" t="s">
        <v>258</v>
      </c>
      <c r="K4" s="9" t="s">
        <v>317</v>
      </c>
      <c r="L4" s="9" t="s">
        <v>318</v>
      </c>
      <c r="M4" s="8"/>
      <c r="N4" s="8"/>
    </row>
    <row r="5" spans="1:14">
      <c r="A5" s="1" t="s">
        <v>319</v>
      </c>
      <c r="B5" s="20">
        <f>COUNTIF('01_Конкуренты'!$B$4:$B$11,"?*")</f>
        <v>8</v>
      </c>
      <c r="C5" s="1" t="s">
        <v>320</v>
      </c>
      <c r="D5" s="1" t="s">
        <v>843</v>
      </c>
      <c r="E5" s="8"/>
      <c r="F5" s="1" t="s">
        <v>159</v>
      </c>
      <c r="G5" s="1">
        <f>COUNTIF('04_Кано'!$E$4:$E$36,F5)</f>
        <v>7</v>
      </c>
      <c r="H5" s="2">
        <f t="shared" ref="H5:H10" si="0">IFERROR(G5/SUM($G$5:$G$10),"")</f>
        <v>0.21212121212121213</v>
      </c>
      <c r="I5" s="8"/>
      <c r="J5" s="1" t="s">
        <v>151</v>
      </c>
      <c r="K5" s="1">
        <f>COUNTIF('03_Левитт'!$D$4:$D$156,J5)</f>
        <v>8</v>
      </c>
      <c r="L5" s="1">
        <f>IFERROR(AVERAGEIF('03_Левитт'!$D$4:$D$156,J5,'03_Левитт'!$L$4:$L$156),"")</f>
        <v>5</v>
      </c>
      <c r="M5" s="8"/>
      <c r="N5" s="8"/>
    </row>
    <row r="6" spans="1:14" ht="25.5">
      <c r="A6" s="1" t="s">
        <v>321</v>
      </c>
      <c r="B6" s="20">
        <f>COUNTIF('02_Карта_сайтов'!$C$4:$C$43,"?*")</f>
        <v>40</v>
      </c>
      <c r="C6" s="1" t="s">
        <v>322</v>
      </c>
      <c r="D6" s="1" t="s">
        <v>844</v>
      </c>
      <c r="E6" s="8"/>
      <c r="F6" s="1" t="s">
        <v>155</v>
      </c>
      <c r="G6" s="1">
        <f>COUNTIF('04_Кано'!$E$4:$E$36,F6)</f>
        <v>11</v>
      </c>
      <c r="H6" s="2">
        <f t="shared" si="0"/>
        <v>0.33333333333333331</v>
      </c>
      <c r="I6" s="8"/>
      <c r="J6" s="1" t="s">
        <v>158</v>
      </c>
      <c r="K6" s="1">
        <f>COUNTIF('03_Левитт'!$D$4:$D$156,J6)</f>
        <v>13</v>
      </c>
      <c r="L6" s="1">
        <f>IFERROR(AVERAGEIF('03_Левитт'!$D$4:$D$156,J6,'03_Левитт'!$L$4:$L$156),"")</f>
        <v>4.2569230769230773</v>
      </c>
      <c r="M6" s="8"/>
      <c r="N6" s="8"/>
    </row>
    <row r="7" spans="1:14">
      <c r="A7" s="1" t="s">
        <v>323</v>
      </c>
      <c r="B7" s="20">
        <f>COUNTIF('03_Левитт'!$E$4:$E$156,"?*")</f>
        <v>153</v>
      </c>
      <c r="C7" s="1" t="s">
        <v>324</v>
      </c>
      <c r="D7" s="1" t="s">
        <v>845</v>
      </c>
      <c r="E7" s="8"/>
      <c r="F7" s="1" t="s">
        <v>178</v>
      </c>
      <c r="G7" s="1">
        <f>COUNTIF('04_Кано'!$E$4:$E$36,F7)</f>
        <v>9</v>
      </c>
      <c r="H7" s="2">
        <f t="shared" si="0"/>
        <v>0.27272727272727271</v>
      </c>
      <c r="I7" s="8"/>
      <c r="J7" s="1" t="s">
        <v>162</v>
      </c>
      <c r="K7" s="1">
        <f>COUNTIF('03_Левитт'!$D$4:$D$156,J7)</f>
        <v>63</v>
      </c>
      <c r="L7" s="1">
        <f>IFERROR(AVERAGEIF('03_Левитт'!$D$4:$D$156,J7,'03_Левитт'!$L$4:$L$156),"")</f>
        <v>3.8969841269841274</v>
      </c>
      <c r="M7" s="8"/>
      <c r="N7" s="8"/>
    </row>
    <row r="8" spans="1:14" ht="25.5">
      <c r="A8" s="1" t="s">
        <v>325</v>
      </c>
      <c r="B8" s="20">
        <f>COUNTIF('04_Кано'!$B$4:$B$36,"?*")</f>
        <v>33</v>
      </c>
      <c r="C8" s="1" t="s">
        <v>326</v>
      </c>
      <c r="D8" s="1" t="s">
        <v>846</v>
      </c>
      <c r="E8" s="8"/>
      <c r="F8" s="1" t="s">
        <v>327</v>
      </c>
      <c r="G8" s="1">
        <f>COUNTIF('04_Кано'!$E$4:$E$36,F8)</f>
        <v>4</v>
      </c>
      <c r="H8" s="2">
        <f t="shared" si="0"/>
        <v>0.12121212121212122</v>
      </c>
      <c r="I8" s="8"/>
      <c r="J8" s="1" t="s">
        <v>171</v>
      </c>
      <c r="K8" s="1">
        <f>COUNTIF('03_Левитт'!$D$4:$D$156,J8)</f>
        <v>65</v>
      </c>
      <c r="L8" s="1">
        <f>IFERROR(AVERAGEIF('03_Левитт'!$D$4:$D$156,J8,'03_Левитт'!$L$4:$L$156),"")</f>
        <v>2.7409230769230768</v>
      </c>
      <c r="M8" s="8"/>
      <c r="N8" s="8"/>
    </row>
    <row r="9" spans="1:14">
      <c r="A9" s="1" t="s">
        <v>328</v>
      </c>
      <c r="B9" s="20">
        <f>COUNTIF('07_Стандарт_рынка'!$I$4:$I$32,"Рыночный стандарт")</f>
        <v>13</v>
      </c>
      <c r="C9" s="1" t="s">
        <v>329</v>
      </c>
      <c r="D9" s="1" t="s">
        <v>847</v>
      </c>
      <c r="E9" s="8"/>
      <c r="F9" s="1" t="s">
        <v>330</v>
      </c>
      <c r="G9" s="1">
        <f>COUNTIF('04_Кано'!$E$4:$E$36,F9)</f>
        <v>0</v>
      </c>
      <c r="H9" s="2">
        <f t="shared" si="0"/>
        <v>0</v>
      </c>
      <c r="I9" s="8"/>
      <c r="J9" s="1" t="s">
        <v>177</v>
      </c>
      <c r="K9" s="1">
        <f>COUNTIF('03_Левитт'!$D$4:$D$156,J9)</f>
        <v>4</v>
      </c>
      <c r="L9" s="1">
        <f>IFERROR(AVERAGEIF('03_Левитт'!$D$4:$D$156,J9,'03_Левитт'!$L$4:$L$156),"")</f>
        <v>2.5</v>
      </c>
      <c r="M9" s="8"/>
      <c r="N9" s="8"/>
    </row>
    <row r="10" spans="1:14">
      <c r="A10" s="1" t="s">
        <v>331</v>
      </c>
      <c r="B10" s="20">
        <f>COUNTIF('07_Стандарт_рынка'!$I$4:$I$32,"Зона дифференциации")</f>
        <v>2</v>
      </c>
      <c r="C10" s="1" t="s">
        <v>329</v>
      </c>
      <c r="D10" s="1" t="s">
        <v>848</v>
      </c>
      <c r="E10" s="8"/>
      <c r="F10" s="1" t="s">
        <v>332</v>
      </c>
      <c r="G10" s="1">
        <f>COUNTIF('04_Кано'!$E$4:$E$36,F10)</f>
        <v>2</v>
      </c>
      <c r="H10" s="2">
        <f t="shared" si="0"/>
        <v>6.0606060606060608E-2</v>
      </c>
      <c r="I10" s="8"/>
      <c r="J10" s="8"/>
      <c r="K10" s="8"/>
      <c r="L10" s="8"/>
      <c r="M10" s="8"/>
      <c r="N10" s="8"/>
    </row>
    <row r="11" spans="1:14">
      <c r="A11" s="1" t="s">
        <v>333</v>
      </c>
      <c r="B11" s="20">
        <f>COUNTIF('08_Преимущества'!$M$4:$M$11,"Сильное преимущество")</f>
        <v>4</v>
      </c>
      <c r="C11" s="1" t="s">
        <v>329</v>
      </c>
      <c r="D11" s="1" t="s">
        <v>849</v>
      </c>
      <c r="E11" s="8"/>
      <c r="F11" s="8"/>
      <c r="G11" s="8"/>
      <c r="H11" s="8"/>
      <c r="I11" s="8"/>
      <c r="J11" s="8"/>
      <c r="K11" s="8"/>
      <c r="L11" s="8"/>
      <c r="M11" s="8"/>
      <c r="N11" s="8"/>
    </row>
    <row r="12" spans="1:14">
      <c r="A12" s="8"/>
      <c r="B12" s="8"/>
      <c r="C12" s="8"/>
      <c r="D12" s="8"/>
      <c r="E12" s="8"/>
      <c r="F12" s="8"/>
      <c r="G12" s="8"/>
      <c r="H12" s="8"/>
      <c r="I12" s="8"/>
      <c r="J12" s="8"/>
      <c r="K12" s="8"/>
      <c r="L12" s="8"/>
      <c r="M12" s="8"/>
      <c r="N12" s="8"/>
    </row>
    <row r="13" spans="1:14">
      <c r="A13" s="8"/>
      <c r="B13" s="8"/>
      <c r="C13" s="8"/>
      <c r="D13" s="8"/>
      <c r="E13" s="8"/>
      <c r="F13" s="8"/>
      <c r="G13" s="8"/>
      <c r="H13" s="8"/>
      <c r="I13" s="8"/>
      <c r="J13" s="8"/>
      <c r="K13" s="8"/>
      <c r="L13" s="8"/>
      <c r="M13" s="8"/>
      <c r="N13" s="8"/>
    </row>
    <row r="14" spans="1:14" ht="30">
      <c r="A14" s="10" t="s">
        <v>334</v>
      </c>
      <c r="B14" s="10"/>
      <c r="C14" s="10"/>
      <c r="D14" s="10"/>
      <c r="E14" s="10"/>
      <c r="F14" s="10"/>
      <c r="G14" s="10"/>
      <c r="H14" s="10"/>
      <c r="I14" s="10"/>
      <c r="J14" s="10"/>
      <c r="K14" s="8"/>
      <c r="L14" s="8"/>
      <c r="M14" s="8"/>
      <c r="N14" s="8"/>
    </row>
    <row r="15" spans="1:14" ht="17.100000000000001" customHeight="1">
      <c r="A15" s="9" t="s">
        <v>59</v>
      </c>
      <c r="B15" s="9" t="s">
        <v>60</v>
      </c>
      <c r="C15" s="9" t="s">
        <v>61</v>
      </c>
      <c r="D15" s="9" t="s">
        <v>62</v>
      </c>
      <c r="E15" s="9" t="s">
        <v>63</v>
      </c>
      <c r="F15" s="9" t="s">
        <v>64</v>
      </c>
      <c r="G15" s="9" t="s">
        <v>65</v>
      </c>
      <c r="H15" s="9" t="s">
        <v>66</v>
      </c>
      <c r="I15" s="8"/>
      <c r="J15" s="8"/>
      <c r="K15" s="8"/>
      <c r="L15" s="8"/>
      <c r="M15" s="8"/>
      <c r="N15" s="8"/>
    </row>
    <row r="16" spans="1:14" ht="15.75">
      <c r="A16" s="11">
        <f>'06_Сравнение'!E29</f>
        <v>3.28</v>
      </c>
      <c r="B16" s="11">
        <f>'06_Сравнение'!F29</f>
        <v>3.35</v>
      </c>
      <c r="C16" s="11">
        <f>'06_Сравнение'!G29</f>
        <v>4.4800000000000004</v>
      </c>
      <c r="D16" s="11">
        <f>'06_Сравнение'!H29</f>
        <v>4.26</v>
      </c>
      <c r="E16" s="11">
        <f>'06_Сравнение'!I29</f>
        <v>4.01</v>
      </c>
      <c r="F16" s="11">
        <f>'06_Сравнение'!J29</f>
        <v>4.6399999999999997</v>
      </c>
      <c r="G16" s="11">
        <f>'06_Сравнение'!K29</f>
        <v>4.46</v>
      </c>
      <c r="H16" s="11">
        <f>'06_Сравнение'!L29</f>
        <v>4.05</v>
      </c>
      <c r="I16" s="8"/>
      <c r="J16" s="8"/>
      <c r="K16" s="8"/>
      <c r="L16" s="8"/>
      <c r="M16" s="8"/>
      <c r="N16" s="8"/>
    </row>
    <row r="17" spans="1:14" ht="25.5">
      <c r="A17" s="12" t="str">
        <f>'06_Сравнение'!E30</f>
        <v>Средний уровень</v>
      </c>
      <c r="B17" s="12" t="str">
        <f>'06_Сравнение'!F30</f>
        <v>Средний уровень</v>
      </c>
      <c r="C17" s="12" t="str">
        <f>'06_Сравнение'!G30</f>
        <v>Лидерский уровень</v>
      </c>
      <c r="D17" s="12" t="str">
        <f>'06_Сравнение'!H30</f>
        <v>Лидерский уровень</v>
      </c>
      <c r="E17" s="12" t="str">
        <f>'06_Сравнение'!I30</f>
        <v>Сильный уровень</v>
      </c>
      <c r="F17" s="12" t="str">
        <f>'06_Сравнение'!J30</f>
        <v>Лидерский уровень</v>
      </c>
      <c r="G17" s="12" t="str">
        <f>'06_Сравнение'!K30</f>
        <v>Лидерский уровень</v>
      </c>
      <c r="H17" s="12" t="str">
        <f>'06_Сравнение'!L30</f>
        <v>Сильный уровень</v>
      </c>
      <c r="I17" s="8"/>
      <c r="J17" s="8"/>
      <c r="K17" s="8"/>
      <c r="L17" s="8"/>
      <c r="M17" s="8"/>
      <c r="N17" s="8"/>
    </row>
    <row r="18" spans="1:14">
      <c r="A18" s="8"/>
      <c r="B18" s="8"/>
      <c r="C18" s="8"/>
      <c r="D18" s="8"/>
      <c r="E18" s="8"/>
      <c r="F18" s="8"/>
      <c r="G18" s="8"/>
      <c r="H18" s="8"/>
      <c r="I18" s="8"/>
      <c r="J18" s="8"/>
      <c r="K18" s="8"/>
      <c r="L18" s="8"/>
      <c r="M18" s="8"/>
      <c r="N18" s="8"/>
    </row>
    <row r="19" spans="1:14">
      <c r="A19" s="8"/>
      <c r="B19" s="8"/>
      <c r="C19" s="8"/>
      <c r="D19" s="8"/>
      <c r="E19" s="8"/>
      <c r="F19" s="8"/>
      <c r="G19" s="8"/>
      <c r="H19" s="8"/>
      <c r="I19" s="8"/>
      <c r="J19" s="8"/>
      <c r="K19" s="8"/>
      <c r="L19" s="8"/>
      <c r="M19" s="8"/>
      <c r="N19" s="8"/>
    </row>
    <row r="20" spans="1:14" ht="30">
      <c r="A20" s="10" t="s">
        <v>335</v>
      </c>
      <c r="B20" s="10"/>
      <c r="C20" s="10"/>
      <c r="D20" s="10"/>
      <c r="E20" s="10"/>
      <c r="F20" s="10"/>
      <c r="G20" s="10"/>
      <c r="H20" s="10"/>
      <c r="I20" s="10"/>
      <c r="J20" s="10"/>
      <c r="K20" s="10"/>
      <c r="L20" s="10"/>
      <c r="M20" s="10"/>
      <c r="N20" s="10"/>
    </row>
    <row r="21" spans="1:14" ht="19.149999999999999" customHeight="1">
      <c r="A21" s="4" t="s">
        <v>336</v>
      </c>
      <c r="B21" s="25" t="s">
        <v>850</v>
      </c>
      <c r="C21" s="25"/>
      <c r="D21" s="25"/>
      <c r="E21" s="25"/>
      <c r="F21" s="25"/>
      <c r="G21" s="25"/>
      <c r="H21" s="25"/>
      <c r="I21" s="25"/>
      <c r="J21" s="25"/>
      <c r="K21" s="25"/>
      <c r="L21" s="25"/>
      <c r="M21" s="25"/>
      <c r="N21" s="25"/>
    </row>
    <row r="22" spans="1:14" ht="19.149999999999999" customHeight="1">
      <c r="A22" s="4" t="s">
        <v>337</v>
      </c>
      <c r="B22" s="25" t="s">
        <v>851</v>
      </c>
      <c r="C22" s="25"/>
      <c r="D22" s="25"/>
      <c r="E22" s="25"/>
      <c r="F22" s="25"/>
      <c r="G22" s="25"/>
      <c r="H22" s="25"/>
      <c r="I22" s="25"/>
      <c r="J22" s="25"/>
      <c r="K22" s="25"/>
      <c r="L22" s="25"/>
      <c r="M22" s="25"/>
      <c r="N22" s="25"/>
    </row>
    <row r="23" spans="1:14" ht="19.149999999999999" customHeight="1">
      <c r="A23" s="4" t="s">
        <v>338</v>
      </c>
      <c r="B23" s="25" t="s">
        <v>852</v>
      </c>
      <c r="C23" s="25"/>
      <c r="D23" s="25"/>
      <c r="E23" s="25"/>
      <c r="F23" s="25"/>
      <c r="G23" s="25"/>
      <c r="H23" s="25"/>
      <c r="I23" s="25"/>
      <c r="J23" s="25"/>
      <c r="K23" s="25"/>
      <c r="L23" s="25"/>
      <c r="M23" s="25"/>
      <c r="N23" s="25"/>
    </row>
    <row r="24" spans="1:14" ht="19.149999999999999" customHeight="1">
      <c r="A24" s="4" t="s">
        <v>339</v>
      </c>
      <c r="B24" s="25" t="s">
        <v>853</v>
      </c>
      <c r="C24" s="25"/>
      <c r="D24" s="25"/>
      <c r="E24" s="25"/>
      <c r="F24" s="25"/>
      <c r="G24" s="25"/>
      <c r="H24" s="25"/>
      <c r="I24" s="25"/>
      <c r="J24" s="25"/>
      <c r="K24" s="25"/>
      <c r="L24" s="25"/>
      <c r="M24" s="25"/>
      <c r="N24" s="25"/>
    </row>
    <row r="25" spans="1:14" ht="19.149999999999999" customHeight="1">
      <c r="A25" s="4" t="s">
        <v>340</v>
      </c>
      <c r="B25" s="25" t="s">
        <v>927</v>
      </c>
      <c r="C25" s="25"/>
      <c r="D25" s="25"/>
      <c r="E25" s="25"/>
      <c r="F25" s="25"/>
      <c r="G25" s="25"/>
      <c r="H25" s="25"/>
      <c r="I25" s="25"/>
      <c r="J25" s="25"/>
      <c r="K25" s="25"/>
      <c r="L25" s="25"/>
      <c r="M25" s="25"/>
      <c r="N25" s="25"/>
    </row>
  </sheetData>
  <mergeCells count="7">
    <mergeCell ref="B24:N24"/>
    <mergeCell ref="B25:N25"/>
    <mergeCell ref="A1:N1"/>
    <mergeCell ref="A2:N2"/>
    <mergeCell ref="B21:N21"/>
    <mergeCell ref="B22:N22"/>
    <mergeCell ref="B23:N2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4"/>
  <sheetViews>
    <sheetView workbookViewId="0">
      <selection activeCell="H17" sqref="H17"/>
    </sheetView>
  </sheetViews>
  <sheetFormatPr defaultRowHeight="14.25"/>
  <cols>
    <col min="1" max="1" width="36" customWidth="1"/>
    <col min="2" max="2" width="28" customWidth="1"/>
    <col min="3" max="3" width="60.625" customWidth="1"/>
    <col min="4" max="8" width="9.625" customWidth="1"/>
  </cols>
  <sheetData>
    <row r="1" spans="1:8" ht="20.25">
      <c r="A1" s="22" t="s">
        <v>341</v>
      </c>
      <c r="B1" s="22"/>
      <c r="C1" s="22"/>
      <c r="D1" s="22"/>
      <c r="E1" s="22"/>
      <c r="F1" s="22"/>
      <c r="G1" s="22"/>
      <c r="H1" s="22"/>
    </row>
    <row r="2" spans="1:8" ht="15" customHeight="1">
      <c r="A2" s="23" t="s">
        <v>854</v>
      </c>
      <c r="B2" s="23"/>
      <c r="C2" s="23"/>
      <c r="D2" s="23"/>
      <c r="E2" s="23"/>
      <c r="F2" s="23"/>
      <c r="G2" s="23"/>
      <c r="H2" s="23"/>
    </row>
    <row r="3" spans="1:8">
      <c r="A3" s="8"/>
      <c r="B3" s="8"/>
      <c r="C3" s="8"/>
      <c r="D3" s="8"/>
      <c r="E3" s="8"/>
      <c r="F3" s="8"/>
      <c r="G3" s="8"/>
      <c r="H3" s="8"/>
    </row>
    <row r="4" spans="1:8">
      <c r="A4" s="9" t="s">
        <v>342</v>
      </c>
      <c r="B4" s="9" t="s">
        <v>313</v>
      </c>
      <c r="C4" s="9" t="s">
        <v>343</v>
      </c>
      <c r="D4" s="8"/>
      <c r="E4" s="8"/>
      <c r="F4" s="8"/>
      <c r="G4" s="8"/>
      <c r="H4" s="8"/>
    </row>
    <row r="5" spans="1:8">
      <c r="A5" s="1" t="s">
        <v>344</v>
      </c>
      <c r="B5" s="1" t="s">
        <v>151</v>
      </c>
      <c r="C5" s="1" t="s">
        <v>855</v>
      </c>
      <c r="D5" s="8"/>
      <c r="E5" s="8"/>
      <c r="F5" s="8"/>
      <c r="G5" s="8"/>
      <c r="H5" s="8"/>
    </row>
    <row r="6" spans="1:8">
      <c r="A6" s="1" t="s">
        <v>344</v>
      </c>
      <c r="B6" s="1" t="s">
        <v>158</v>
      </c>
      <c r="C6" s="1" t="s">
        <v>856</v>
      </c>
      <c r="D6" s="8"/>
      <c r="E6" s="8"/>
      <c r="F6" s="8"/>
      <c r="G6" s="8"/>
      <c r="H6" s="8"/>
    </row>
    <row r="7" spans="1:8">
      <c r="A7" s="1" t="s">
        <v>344</v>
      </c>
      <c r="B7" s="1" t="s">
        <v>162</v>
      </c>
      <c r="C7" s="1" t="s">
        <v>857</v>
      </c>
      <c r="D7" s="8"/>
      <c r="E7" s="8"/>
      <c r="F7" s="8"/>
      <c r="G7" s="8"/>
      <c r="H7" s="8"/>
    </row>
    <row r="8" spans="1:8">
      <c r="A8" s="1" t="s">
        <v>344</v>
      </c>
      <c r="B8" s="1" t="s">
        <v>171</v>
      </c>
      <c r="C8" s="1" t="s">
        <v>858</v>
      </c>
      <c r="D8" s="8"/>
      <c r="E8" s="8"/>
      <c r="F8" s="8"/>
      <c r="G8" s="8"/>
      <c r="H8" s="8"/>
    </row>
    <row r="9" spans="1:8">
      <c r="A9" s="1" t="s">
        <v>344</v>
      </c>
      <c r="B9" s="1" t="s">
        <v>177</v>
      </c>
      <c r="C9" s="1" t="s">
        <v>859</v>
      </c>
      <c r="D9" s="8"/>
      <c r="E9" s="8"/>
      <c r="F9" s="8"/>
      <c r="G9" s="8"/>
      <c r="H9" s="8"/>
    </row>
    <row r="10" spans="1:8" ht="25.5">
      <c r="A10" s="1" t="s">
        <v>345</v>
      </c>
      <c r="B10" s="1" t="s">
        <v>159</v>
      </c>
      <c r="C10" s="1" t="s">
        <v>860</v>
      </c>
      <c r="D10" s="8"/>
      <c r="E10" s="8"/>
      <c r="F10" s="8"/>
      <c r="G10" s="8"/>
      <c r="H10" s="8"/>
    </row>
    <row r="11" spans="1:8" ht="25.5">
      <c r="A11" s="1" t="s">
        <v>345</v>
      </c>
      <c r="B11" s="1" t="s">
        <v>155</v>
      </c>
      <c r="C11" s="1" t="s">
        <v>861</v>
      </c>
      <c r="D11" s="8"/>
      <c r="E11" s="8"/>
      <c r="F11" s="8"/>
      <c r="G11" s="8"/>
      <c r="H11" s="8"/>
    </row>
    <row r="12" spans="1:8">
      <c r="A12" s="1" t="s">
        <v>345</v>
      </c>
      <c r="B12" s="1" t="s">
        <v>178</v>
      </c>
      <c r="C12" s="1" t="s">
        <v>862</v>
      </c>
      <c r="D12" s="8"/>
      <c r="E12" s="8"/>
      <c r="F12" s="8"/>
      <c r="G12" s="8"/>
      <c r="H12" s="8"/>
    </row>
    <row r="13" spans="1:8">
      <c r="A13" s="1" t="s">
        <v>345</v>
      </c>
      <c r="B13" s="1" t="s">
        <v>327</v>
      </c>
      <c r="C13" s="1" t="s">
        <v>863</v>
      </c>
      <c r="D13" s="8"/>
      <c r="E13" s="8"/>
      <c r="F13" s="8"/>
      <c r="G13" s="8"/>
      <c r="H13" s="8"/>
    </row>
    <row r="14" spans="1:8">
      <c r="A14" s="1" t="s">
        <v>345</v>
      </c>
      <c r="B14" s="1" t="s">
        <v>330</v>
      </c>
      <c r="C14" s="1" t="s">
        <v>864</v>
      </c>
      <c r="D14" s="8"/>
      <c r="E14" s="8"/>
      <c r="F14" s="8"/>
      <c r="G14" s="8"/>
      <c r="H14" s="8"/>
    </row>
    <row r="15" spans="1:8">
      <c r="A15" s="1" t="s">
        <v>345</v>
      </c>
      <c r="B15" s="1" t="s">
        <v>332</v>
      </c>
      <c r="C15" s="1" t="s">
        <v>865</v>
      </c>
      <c r="D15" s="8"/>
      <c r="E15" s="8"/>
      <c r="F15" s="8"/>
      <c r="G15" s="8"/>
      <c r="H15" s="8"/>
    </row>
    <row r="16" spans="1:8">
      <c r="A16" s="1" t="s">
        <v>346</v>
      </c>
      <c r="B16" s="1" t="s">
        <v>347</v>
      </c>
      <c r="C16" s="1" t="s">
        <v>866</v>
      </c>
      <c r="D16" s="8"/>
      <c r="E16" s="8"/>
      <c r="F16" s="8"/>
      <c r="G16" s="8"/>
      <c r="H16" s="8"/>
    </row>
    <row r="17" spans="1:8">
      <c r="A17" s="1" t="s">
        <v>346</v>
      </c>
      <c r="B17" s="1" t="s">
        <v>348</v>
      </c>
      <c r="C17" s="1" t="s">
        <v>867</v>
      </c>
      <c r="D17" s="8"/>
      <c r="E17" s="8"/>
      <c r="F17" s="8"/>
      <c r="G17" s="8"/>
      <c r="H17" s="8"/>
    </row>
    <row r="18" spans="1:8">
      <c r="A18" s="1" t="s">
        <v>346</v>
      </c>
      <c r="B18" s="1" t="s">
        <v>349</v>
      </c>
      <c r="C18" s="1" t="s">
        <v>868</v>
      </c>
      <c r="D18" s="8"/>
      <c r="E18" s="8"/>
      <c r="F18" s="8"/>
      <c r="G18" s="8"/>
      <c r="H18" s="8"/>
    </row>
    <row r="19" spans="1:8">
      <c r="A19" s="1" t="s">
        <v>346</v>
      </c>
      <c r="B19" s="1" t="s">
        <v>350</v>
      </c>
      <c r="C19" s="1" t="s">
        <v>869</v>
      </c>
      <c r="D19" s="8"/>
      <c r="E19" s="8"/>
      <c r="F19" s="8"/>
      <c r="G19" s="8"/>
      <c r="H19" s="8"/>
    </row>
    <row r="20" spans="1:8">
      <c r="A20" s="1" t="s">
        <v>346</v>
      </c>
      <c r="B20" s="1" t="s">
        <v>351</v>
      </c>
      <c r="C20" s="1" t="s">
        <v>870</v>
      </c>
      <c r="D20" s="8"/>
      <c r="E20" s="8"/>
      <c r="F20" s="8"/>
      <c r="G20" s="8"/>
      <c r="H20" s="8"/>
    </row>
    <row r="21" spans="1:8">
      <c r="A21" s="1" t="s">
        <v>346</v>
      </c>
      <c r="B21" s="1" t="s">
        <v>352</v>
      </c>
      <c r="C21" s="1" t="s">
        <v>871</v>
      </c>
      <c r="D21" s="8"/>
      <c r="E21" s="8"/>
      <c r="F21" s="8"/>
      <c r="G21" s="8"/>
      <c r="H21" s="8"/>
    </row>
    <row r="22" spans="1:8" ht="25.5">
      <c r="A22" s="1" t="s">
        <v>346</v>
      </c>
      <c r="B22" s="1" t="s">
        <v>353</v>
      </c>
      <c r="C22" s="1" t="s">
        <v>872</v>
      </c>
      <c r="D22" s="8"/>
      <c r="E22" s="8"/>
      <c r="F22" s="8"/>
      <c r="G22" s="8"/>
      <c r="H22" s="8"/>
    </row>
    <row r="23" spans="1:8">
      <c r="A23" s="1" t="s">
        <v>346</v>
      </c>
      <c r="B23" s="1" t="s">
        <v>354</v>
      </c>
      <c r="C23" s="1" t="s">
        <v>873</v>
      </c>
      <c r="D23" s="8"/>
      <c r="E23" s="8"/>
      <c r="F23" s="8"/>
      <c r="G23" s="8"/>
      <c r="H23" s="8"/>
    </row>
    <row r="24" spans="1:8">
      <c r="A24" s="1" t="s">
        <v>346</v>
      </c>
      <c r="B24" s="1" t="s">
        <v>355</v>
      </c>
      <c r="C24" s="1" t="s">
        <v>874</v>
      </c>
      <c r="D24" s="8"/>
      <c r="E24" s="8"/>
      <c r="F24" s="8"/>
      <c r="G24" s="8"/>
      <c r="H24" s="8"/>
    </row>
  </sheetData>
  <mergeCells count="2">
    <mergeCell ref="A1:H1"/>
    <mergeCell ref="A2:H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40069-9FF6-442F-8040-97381C2624A3}">
  <dimension ref="A1:C16"/>
  <sheetViews>
    <sheetView workbookViewId="0">
      <selection activeCell="F9" sqref="F9"/>
    </sheetView>
  </sheetViews>
  <sheetFormatPr defaultRowHeight="12.75"/>
  <cols>
    <col min="1" max="1" width="55.625" style="5" customWidth="1"/>
    <col min="2" max="2" width="9.625" style="5" customWidth="1"/>
    <col min="3" max="3" width="60.625" style="5" customWidth="1"/>
    <col min="4" max="16384" width="9" style="5"/>
  </cols>
  <sheetData>
    <row r="1" spans="1:3" ht="31.5">
      <c r="A1" s="13" t="s">
        <v>753</v>
      </c>
      <c r="B1" s="14"/>
      <c r="C1" s="14"/>
    </row>
    <row r="2" spans="1:3">
      <c r="A2" s="14"/>
      <c r="B2" s="14"/>
      <c r="C2" s="14"/>
    </row>
    <row r="3" spans="1:3">
      <c r="A3" s="15" t="s">
        <v>1</v>
      </c>
      <c r="B3" s="15" t="s">
        <v>754</v>
      </c>
      <c r="C3" s="15" t="s">
        <v>755</v>
      </c>
    </row>
    <row r="4" spans="1:3" ht="51">
      <c r="A4" s="6" t="s">
        <v>756</v>
      </c>
      <c r="B4" s="6" t="s">
        <v>757</v>
      </c>
      <c r="C4" s="6" t="s">
        <v>875</v>
      </c>
    </row>
    <row r="5" spans="1:3" ht="38.25">
      <c r="A5" s="6" t="s">
        <v>756</v>
      </c>
      <c r="B5" s="6" t="s">
        <v>758</v>
      </c>
      <c r="C5" s="6" t="s">
        <v>928</v>
      </c>
    </row>
    <row r="6" spans="1:3" ht="63.75">
      <c r="A6" s="6" t="s">
        <v>759</v>
      </c>
      <c r="B6" s="6" t="s">
        <v>760</v>
      </c>
      <c r="C6" s="6" t="s">
        <v>876</v>
      </c>
    </row>
    <row r="7" spans="1:3" ht="25.5">
      <c r="A7" s="6" t="s">
        <v>761</v>
      </c>
      <c r="B7" s="6" t="s">
        <v>762</v>
      </c>
      <c r="C7" s="6" t="s">
        <v>877</v>
      </c>
    </row>
    <row r="8" spans="1:3" ht="38.25">
      <c r="A8" s="6" t="s">
        <v>763</v>
      </c>
      <c r="B8" s="6" t="s">
        <v>764</v>
      </c>
      <c r="C8" s="6" t="s">
        <v>878</v>
      </c>
    </row>
    <row r="9" spans="1:3" ht="38.25">
      <c r="A9" s="6" t="s">
        <v>763</v>
      </c>
      <c r="B9" s="6" t="s">
        <v>765</v>
      </c>
      <c r="C9" s="6" t="s">
        <v>879</v>
      </c>
    </row>
    <row r="10" spans="1:3" ht="51">
      <c r="A10" s="6" t="s">
        <v>763</v>
      </c>
      <c r="B10" s="6" t="s">
        <v>766</v>
      </c>
      <c r="C10" s="6" t="s">
        <v>880</v>
      </c>
    </row>
    <row r="11" spans="1:3" ht="38.25">
      <c r="A11" s="6" t="s">
        <v>763</v>
      </c>
      <c r="B11" s="6" t="s">
        <v>767</v>
      </c>
      <c r="C11" s="6" t="s">
        <v>929</v>
      </c>
    </row>
    <row r="12" spans="1:3" ht="38.25">
      <c r="A12" s="6" t="s">
        <v>763</v>
      </c>
      <c r="B12" s="6" t="s">
        <v>768</v>
      </c>
      <c r="C12" s="6" t="s">
        <v>930</v>
      </c>
    </row>
    <row r="13" spans="1:3" ht="25.5">
      <c r="A13" s="6" t="s">
        <v>763</v>
      </c>
      <c r="B13" s="6" t="s">
        <v>769</v>
      </c>
      <c r="C13" s="6" t="s">
        <v>881</v>
      </c>
    </row>
    <row r="14" spans="1:3" ht="25.5">
      <c r="A14" s="6" t="s">
        <v>770</v>
      </c>
      <c r="B14" s="6" t="s">
        <v>771</v>
      </c>
      <c r="C14" s="6" t="s">
        <v>882</v>
      </c>
    </row>
    <row r="15" spans="1:3" ht="38.25">
      <c r="A15" s="6" t="s">
        <v>772</v>
      </c>
      <c r="B15" s="6" t="s">
        <v>773</v>
      </c>
      <c r="C15" s="6" t="s">
        <v>883</v>
      </c>
    </row>
    <row r="16" spans="1:3" ht="38.25">
      <c r="A16" s="6" t="s">
        <v>774</v>
      </c>
      <c r="B16" s="6" t="s">
        <v>775</v>
      </c>
      <c r="C16" s="6" t="s">
        <v>884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12</vt:i4>
      </vt:variant>
    </vt:vector>
  </HeadingPairs>
  <TitlesOfParts>
    <vt:vector size="12" baseType="lpstr">
      <vt:lpstr>00_Инструкция</vt:lpstr>
      <vt:lpstr>01_Конкуренты</vt:lpstr>
      <vt:lpstr>02_Карта_сайтов</vt:lpstr>
      <vt:lpstr>03_Левитт</vt:lpstr>
      <vt:lpstr>04_Кано</vt:lpstr>
      <vt:lpstr>05_Матрица_товара</vt:lpstr>
      <vt:lpstr>06_Сравнение</vt:lpstr>
      <vt:lpstr>07_Стандарт_рынка</vt:lpstr>
      <vt:lpstr>08_Преимущества</vt:lpstr>
      <vt:lpstr>09_Дашборд</vt:lpstr>
      <vt:lpstr>99_Справочники</vt:lpstr>
      <vt:lpstr>98_Журнал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Анализ цифрового товара конкурентов (Левитт, Кано): NotaCode</dc:title>
  <dc:creator>К. А. Хаджинова</dc:creator>
  <dc:description/>
  <cp:lastModifiedBy>Aliaksandr Khajynau</cp:lastModifiedBy>
  <dcterms:created xsi:type="dcterms:W3CDTF">2026-10-04T18:21:55Z</dcterms:created>
  <dcterms:modified xsi:type="dcterms:W3CDTF">2026-10-04T19:30:22Z</dcterms:modified>
</cp:coreProperties>
</file>