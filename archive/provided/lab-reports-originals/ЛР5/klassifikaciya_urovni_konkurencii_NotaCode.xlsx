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5\"/>
    </mc:Choice>
  </mc:AlternateContent>
  <xr:revisionPtr revIDLastSave="0" documentId="13_ncr:1_{C4A30831-2BF0-4B75-B290-35CAC6E412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Инструкция" sheetId="1" r:id="rId1"/>
    <sheet name="01_Компании" sheetId="2" r:id="rId2"/>
    <sheet name="02_Доказательства" sheetId="3" r:id="rId3"/>
    <sheet name="03_Критерии" sheetId="4" r:id="rId4"/>
    <sheet name="04_Оценка" sheetId="5" r:id="rId5"/>
    <sheet name="05_Уровни" sheetId="6" r:id="rId6"/>
    <sheet name="06_Сводка" sheetId="7" r:id="rId7"/>
    <sheet name="07_Карта" sheetId="8" r:id="rId8"/>
    <sheet name="08_Справочники" sheetId="9" r:id="rId9"/>
    <sheet name="09_Журнал" sheetId="10" r:id="rId10"/>
  </sheets>
  <calcPr calcId="191029" refMode="R1C1"/>
</workbook>
</file>

<file path=xl/calcChain.xml><?xml version="1.0" encoding="utf-8"?>
<calcChain xmlns="http://schemas.openxmlformats.org/spreadsheetml/2006/main">
  <c r="K25" i="8" l="1"/>
  <c r="J25" i="8"/>
  <c r="K24" i="8"/>
  <c r="J24" i="8"/>
  <c r="K23" i="8"/>
  <c r="J23" i="8"/>
  <c r="K22" i="8"/>
  <c r="J22" i="8"/>
  <c r="K21" i="8"/>
  <c r="J21" i="8"/>
  <c r="K20" i="8"/>
  <c r="J20" i="8"/>
  <c r="K19" i="8"/>
  <c r="J19" i="8"/>
  <c r="K18" i="8"/>
  <c r="J18" i="8"/>
  <c r="K17" i="8"/>
  <c r="J17" i="8"/>
  <c r="K16" i="8"/>
  <c r="J16" i="8"/>
  <c r="K15" i="8"/>
  <c r="J15" i="8"/>
  <c r="K14" i="8"/>
  <c r="J14" i="8"/>
  <c r="K13" i="8"/>
  <c r="J13" i="8"/>
  <c r="K12" i="8"/>
  <c r="J12" i="8"/>
  <c r="K11" i="8"/>
  <c r="J11" i="8"/>
  <c r="K10" i="8"/>
  <c r="J10" i="8"/>
  <c r="K9" i="8"/>
  <c r="J9" i="8"/>
  <c r="K8" i="8"/>
  <c r="J8" i="8"/>
  <c r="K7" i="8"/>
  <c r="J7" i="8"/>
  <c r="K6" i="8"/>
  <c r="J6" i="8"/>
  <c r="K5" i="8"/>
  <c r="J5" i="8"/>
  <c r="K4" i="8"/>
  <c r="J4" i="8"/>
  <c r="C25" i="5"/>
  <c r="B25" i="5"/>
  <c r="B25" i="8" s="1"/>
  <c r="C24" i="5"/>
  <c r="B24" i="5"/>
  <c r="B24" i="8" s="1"/>
  <c r="C23" i="5"/>
  <c r="B23" i="5"/>
  <c r="B23" i="8" s="1"/>
  <c r="C22" i="5"/>
  <c r="B22" i="5"/>
  <c r="B22" i="8" s="1"/>
  <c r="C21" i="5"/>
  <c r="B21" i="5"/>
  <c r="B21" i="8" s="1"/>
  <c r="C20" i="5"/>
  <c r="B20" i="5"/>
  <c r="B20" i="8" s="1"/>
  <c r="C19" i="5"/>
  <c r="B19" i="5"/>
  <c r="B19" i="8" s="1"/>
  <c r="C18" i="5"/>
  <c r="B18" i="5"/>
  <c r="B18" i="8" s="1"/>
  <c r="C17" i="5"/>
  <c r="B17" i="5"/>
  <c r="B17" i="8" s="1"/>
  <c r="C16" i="5"/>
  <c r="B16" i="5"/>
  <c r="B16" i="8" s="1"/>
  <c r="C15" i="5"/>
  <c r="B15" i="5"/>
  <c r="B15" i="8" s="1"/>
  <c r="C14" i="5"/>
  <c r="B14" i="5"/>
  <c r="B14" i="8" s="1"/>
  <c r="C13" i="5"/>
  <c r="B13" i="5"/>
  <c r="B13" i="8" s="1"/>
  <c r="C12" i="5"/>
  <c r="B12" i="5"/>
  <c r="B12" i="8" s="1"/>
  <c r="C11" i="5"/>
  <c r="B11" i="5"/>
  <c r="B11" i="8" s="1"/>
  <c r="C10" i="5"/>
  <c r="B10" i="5"/>
  <c r="B10" i="8" s="1"/>
  <c r="C9" i="5"/>
  <c r="B9" i="5"/>
  <c r="B9" i="8" s="1"/>
  <c r="C8" i="5"/>
  <c r="B8" i="5"/>
  <c r="B8" i="8" s="1"/>
  <c r="C7" i="5"/>
  <c r="B7" i="5"/>
  <c r="B7" i="8" s="1"/>
  <c r="C6" i="5"/>
  <c r="B6" i="5"/>
  <c r="B6" i="8" s="1"/>
  <c r="C5" i="5"/>
  <c r="B5" i="5"/>
  <c r="B5" i="8" s="1"/>
  <c r="C4" i="5"/>
  <c r="B4" i="5"/>
  <c r="B4" i="8" s="1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4" i="7"/>
  <c r="N25" i="5"/>
  <c r="O25" i="5" s="1"/>
  <c r="N24" i="5"/>
  <c r="O24" i="5" s="1"/>
  <c r="N23" i="5"/>
  <c r="N22" i="5"/>
  <c r="O22" i="5" s="1"/>
  <c r="N21" i="5"/>
  <c r="O21" i="5" s="1"/>
  <c r="P21" i="5" s="1"/>
  <c r="R21" i="5" s="1"/>
  <c r="F21" i="8" s="1"/>
  <c r="N20" i="5"/>
  <c r="O20" i="5" s="1"/>
  <c r="N19" i="5"/>
  <c r="O19" i="5" s="1"/>
  <c r="N18" i="5"/>
  <c r="O18" i="5" s="1"/>
  <c r="N17" i="5"/>
  <c r="N16" i="5"/>
  <c r="N15" i="5"/>
  <c r="N14" i="5"/>
  <c r="O14" i="5" s="1"/>
  <c r="N13" i="5"/>
  <c r="N12" i="5"/>
  <c r="O12" i="5" s="1"/>
  <c r="P12" i="5" s="1"/>
  <c r="R12" i="5" s="1"/>
  <c r="F12" i="8" s="1"/>
  <c r="N11" i="5"/>
  <c r="O11" i="5" s="1"/>
  <c r="P11" i="5" s="1"/>
  <c r="R11" i="5" s="1"/>
  <c r="F11" i="8" s="1"/>
  <c r="N10" i="5"/>
  <c r="O10" i="5" s="1"/>
  <c r="N9" i="5"/>
  <c r="N8" i="5"/>
  <c r="O8" i="5" s="1"/>
  <c r="P8" i="5" s="1"/>
  <c r="R8" i="5" s="1"/>
  <c r="F8" i="8" s="1"/>
  <c r="N7" i="5"/>
  <c r="O7" i="5" s="1"/>
  <c r="N6" i="5"/>
  <c r="O6" i="5" s="1"/>
  <c r="N5" i="5"/>
  <c r="O5" i="5" s="1"/>
  <c r="P5" i="5" s="1"/>
  <c r="R5" i="5" s="1"/>
  <c r="F5" i="8" s="1"/>
  <c r="N4" i="5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O23" i="5" l="1"/>
  <c r="P23" i="5" s="1"/>
  <c r="R23" i="5" s="1"/>
  <c r="F23" i="8" s="1"/>
  <c r="E23" i="8"/>
  <c r="O17" i="5"/>
  <c r="P17" i="5" s="1"/>
  <c r="R17" i="5" s="1"/>
  <c r="F17" i="8" s="1"/>
  <c r="E17" i="8"/>
  <c r="O16" i="5"/>
  <c r="P16" i="5" s="1"/>
  <c r="R16" i="5" s="1"/>
  <c r="F16" i="8" s="1"/>
  <c r="E16" i="8"/>
  <c r="O15" i="5"/>
  <c r="P15" i="5" s="1"/>
  <c r="R15" i="5" s="1"/>
  <c r="F15" i="8" s="1"/>
  <c r="E15" i="8"/>
  <c r="O13" i="5"/>
  <c r="P13" i="5" s="1"/>
  <c r="R13" i="5" s="1"/>
  <c r="F13" i="8" s="1"/>
  <c r="E13" i="8"/>
  <c r="O9" i="5"/>
  <c r="P9" i="5" s="1"/>
  <c r="R9" i="5" s="1"/>
  <c r="F9" i="8" s="1"/>
  <c r="E9" i="8"/>
  <c r="O4" i="5"/>
  <c r="P4" i="5" s="1"/>
  <c r="R4" i="5" s="1"/>
  <c r="B5" i="7"/>
  <c r="P25" i="5"/>
  <c r="R25" i="5" s="1"/>
  <c r="F25" i="8" s="1"/>
  <c r="E25" i="8"/>
  <c r="E24" i="8"/>
  <c r="P24" i="5"/>
  <c r="R24" i="5" s="1"/>
  <c r="F24" i="8" s="1"/>
  <c r="P18" i="5"/>
  <c r="R18" i="5" s="1"/>
  <c r="F18" i="8" s="1"/>
  <c r="E14" i="8"/>
  <c r="E5" i="8"/>
  <c r="G5" i="8" s="1"/>
  <c r="E21" i="8"/>
  <c r="G21" i="8" s="1"/>
  <c r="E7" i="8"/>
  <c r="E8" i="8"/>
  <c r="G8" i="8" s="1"/>
  <c r="P7" i="5"/>
  <c r="R7" i="5" s="1"/>
  <c r="F7" i="8" s="1"/>
  <c r="P14" i="5"/>
  <c r="R14" i="5" s="1"/>
  <c r="F14" i="8" s="1"/>
  <c r="P22" i="5"/>
  <c r="R22" i="5" s="1"/>
  <c r="F22" i="8" s="1"/>
  <c r="D22" i="7"/>
  <c r="B6" i="7"/>
  <c r="D28" i="7"/>
  <c r="D24" i="7"/>
  <c r="E12" i="8"/>
  <c r="G12" i="8" s="1"/>
  <c r="E22" i="8"/>
  <c r="D27" i="7"/>
  <c r="P10" i="5"/>
  <c r="R10" i="5" s="1"/>
  <c r="F10" i="8" s="1"/>
  <c r="E19" i="8"/>
  <c r="P19" i="5"/>
  <c r="R19" i="5" s="1"/>
  <c r="F19" i="8" s="1"/>
  <c r="D23" i="7"/>
  <c r="E10" i="8"/>
  <c r="E20" i="8"/>
  <c r="D19" i="7"/>
  <c r="E6" i="8"/>
  <c r="E18" i="8"/>
  <c r="P20" i="5"/>
  <c r="R20" i="5" s="1"/>
  <c r="F20" i="8" s="1"/>
  <c r="D20" i="7"/>
  <c r="E4" i="8"/>
  <c r="D25" i="7"/>
  <c r="E11" i="8"/>
  <c r="G11" i="8" s="1"/>
  <c r="P6" i="5"/>
  <c r="R6" i="5" s="1"/>
  <c r="F6" i="8" s="1"/>
  <c r="D21" i="7"/>
  <c r="D26" i="7"/>
  <c r="G17" i="8" l="1"/>
  <c r="G23" i="8"/>
  <c r="G7" i="8"/>
  <c r="G14" i="8"/>
  <c r="G16" i="8"/>
  <c r="G9" i="8"/>
  <c r="G24" i="8"/>
  <c r="G15" i="8"/>
  <c r="G13" i="8"/>
  <c r="G18" i="8"/>
  <c r="F22" i="7" a="1"/>
  <c r="F22" i="7" s="1"/>
  <c r="E22" i="7" a="1"/>
  <c r="E22" i="7" s="1"/>
  <c r="C22" i="7" a="1"/>
  <c r="C22" i="7" s="1"/>
  <c r="F28" i="7" a="1"/>
  <c r="F28" i="7" s="1"/>
  <c r="B28" i="7" a="1"/>
  <c r="B28" i="7" s="1"/>
  <c r="E28" i="7" a="1"/>
  <c r="E28" i="7" s="1"/>
  <c r="C28" i="7" a="1"/>
  <c r="C28" i="7" s="1"/>
  <c r="F24" i="7" a="1"/>
  <c r="F24" i="7" s="1"/>
  <c r="E24" i="7" a="1"/>
  <c r="E24" i="7" s="1"/>
  <c r="C24" i="7" a="1"/>
  <c r="C24" i="7" s="1"/>
  <c r="B7" i="7"/>
  <c r="B8" i="7"/>
  <c r="B11" i="7"/>
  <c r="B12" i="7"/>
  <c r="B13" i="7"/>
  <c r="B14" i="7"/>
  <c r="B15" i="7"/>
  <c r="B16" i="7"/>
  <c r="C27" i="7" a="1"/>
  <c r="C27" i="7" s="1"/>
  <c r="B27" i="7" a="1"/>
  <c r="B27" i="7" s="1"/>
  <c r="F27" i="7" a="1"/>
  <c r="F27" i="7" s="1"/>
  <c r="E27" i="7" a="1"/>
  <c r="E27" i="7" s="1"/>
  <c r="B23" i="7" a="1"/>
  <c r="B23" i="7" s="1"/>
  <c r="F23" i="7" a="1"/>
  <c r="F23" i="7" s="1"/>
  <c r="E23" i="7" a="1"/>
  <c r="E23" i="7" s="1"/>
  <c r="C23" i="7" a="1"/>
  <c r="C23" i="7" s="1"/>
  <c r="C19" i="7" a="1"/>
  <c r="C19" i="7" s="1"/>
  <c r="E19" i="7" a="1"/>
  <c r="E19" i="7" s="1"/>
  <c r="F19" i="7" a="1"/>
  <c r="F19" i="7" s="1"/>
  <c r="B19" i="7" a="1"/>
  <c r="B19" i="7" s="1"/>
  <c r="B20" i="7" a="1"/>
  <c r="B20" i="7" s="1"/>
  <c r="B24" i="7" a="1"/>
  <c r="B24" i="7" s="1"/>
  <c r="B22" i="7" a="1"/>
  <c r="B22" i="7" s="1"/>
  <c r="F20" i="7" a="1"/>
  <c r="F20" i="7" s="1"/>
  <c r="E20" i="7" a="1"/>
  <c r="E20" i="7" s="1"/>
  <c r="C20" i="7" a="1"/>
  <c r="C20" i="7" s="1"/>
  <c r="F25" i="7" a="1"/>
  <c r="F25" i="7" s="1"/>
  <c r="B25" i="7" a="1"/>
  <c r="B25" i="7" s="1"/>
  <c r="E25" i="7" a="1"/>
  <c r="E25" i="7" s="1"/>
  <c r="C25" i="7" a="1"/>
  <c r="C25" i="7" s="1"/>
  <c r="B21" i="7" a="1"/>
  <c r="B21" i="7" s="1"/>
  <c r="E21" i="7" a="1"/>
  <c r="E21" i="7" s="1"/>
  <c r="F21" i="7" a="1"/>
  <c r="F21" i="7" s="1"/>
  <c r="C21" i="7" a="1"/>
  <c r="C21" i="7" s="1"/>
  <c r="E26" i="7" a="1"/>
  <c r="E26" i="7" s="1"/>
  <c r="F26" i="7" a="1"/>
  <c r="F26" i="7" s="1"/>
  <c r="B26" i="7" a="1"/>
  <c r="B26" i="7" s="1"/>
  <c r="C26" i="7" a="1"/>
  <c r="C26" i="7" s="1"/>
  <c r="G25" i="8"/>
  <c r="G22" i="8"/>
  <c r="G19" i="8"/>
  <c r="G20" i="8"/>
  <c r="G10" i="8"/>
  <c r="G6" i="8"/>
  <c r="F4" i="8"/>
  <c r="G4" i="8" s="1"/>
  <c r="C13" i="7" l="1"/>
  <c r="C14" i="7"/>
  <c r="C15" i="7"/>
  <c r="C16" i="7"/>
  <c r="C11" i="7"/>
  <c r="C12" i="7"/>
</calcChain>
</file>

<file path=xl/sharedStrings.xml><?xml version="1.0" encoding="utf-8"?>
<sst xmlns="http://schemas.openxmlformats.org/spreadsheetml/2006/main" count="2579" uniqueCount="904">
  <si>
    <t>Методика работы с Excel-шаблоном классификации компаний по уровням конкуренции</t>
  </si>
  <si>
    <t>Блок</t>
  </si>
  <si>
    <t>Что делает аналитик</t>
  </si>
  <si>
    <t>Где заполнять</t>
  </si>
  <si>
    <t>Результат</t>
  </si>
  <si>
    <t>Контроль качества</t>
  </si>
  <si>
    <t>Тип ошибки</t>
  </si>
  <si>
    <t>Как исправлять</t>
  </si>
  <si>
    <t>Итог</t>
  </si>
  <si>
    <t>1. Формирование списка</t>
  </si>
  <si>
    <t>01_Компании</t>
  </si>
  <si>
    <t>Единый реестр компаний</t>
  </si>
  <si>
    <t>2. Сбор доказательств</t>
  </si>
  <si>
    <t>02_Доказательства</t>
  </si>
  <si>
    <t>Набор проверяемых сигналов</t>
  </si>
  <si>
    <t>3. Оценка по критериям</t>
  </si>
  <si>
    <t>04_Оценка</t>
  </si>
  <si>
    <t>Взвешенный балл близости</t>
  </si>
  <si>
    <t>4. Проверка ограничителей</t>
  </si>
  <si>
    <t>Автоматическое ограничение уровня</t>
  </si>
  <si>
    <t>5. Экспертная корректировка</t>
  </si>
  <si>
    <t>Итоговый уровень</t>
  </si>
  <si>
    <t>6. Сводный анализ</t>
  </si>
  <si>
    <t>06_Сводка, 07_Карта</t>
  </si>
  <si>
    <t>Карта конкурентного окружения</t>
  </si>
  <si>
    <t>Правило</t>
  </si>
  <si>
    <t>Содержание</t>
  </si>
  <si>
    <t>Факт важнее предположения</t>
  </si>
  <si>
    <t>Заменитель не равен прямому конкуренту</t>
  </si>
  <si>
    <t>Потенциальный конкурент требует сигнала</t>
  </si>
  <si>
    <t>Экспертная корректировка допустима</t>
  </si>
  <si>
    <t>Реестр компаний для классификации по уровням конкуренции</t>
  </si>
  <si>
    <t>ID</t>
  </si>
  <si>
    <t>Компания</t>
  </si>
  <si>
    <t>Сайт</t>
  </si>
  <si>
    <t>Рынок / страна</t>
  </si>
  <si>
    <t>Тип компании</t>
  </si>
  <si>
    <t>Основной цифровой товар</t>
  </si>
  <si>
    <t>Целевой сегмент</t>
  </si>
  <si>
    <t>Предварительная гипотеза</t>
  </si>
  <si>
    <t>Приоритет</t>
  </si>
  <si>
    <t>Ответственный</t>
  </si>
  <si>
    <t>Статус</t>
  </si>
  <si>
    <t>Дата обновления</t>
  </si>
  <si>
    <t>Комментарий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</si>
  <si>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</si>
  <si>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</si>
  <si>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</si>
  <si>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</si>
  <si>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</si>
  <si>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</si>
  <si>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</si>
  <si>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</si>
  <si>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</si>
  <si>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</si>
  <si>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</si>
  <si>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</si>
  <si>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</si>
  <si>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</si>
  <si>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</si>
  <si>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</si>
  <si>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</si>
  <si>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</si>
  <si>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</si>
  <si>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</si>
  <si>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</si>
  <si>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</si>
  <si>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Доказательства и сигналы с сайтов конкурентов</t>
  </si>
  <si>
    <t>ID компании</t>
  </si>
  <si>
    <t>Раздел сайта</t>
  </si>
  <si>
    <t>URL</t>
  </si>
  <si>
    <t>Наблюдаемый факт</t>
  </si>
  <si>
    <t>Тип сигнала</t>
  </si>
  <si>
    <t>Сила сигнала 1–5</t>
  </si>
  <si>
    <t>Дата фиксации</t>
  </si>
  <si>
    <t>Вывод для классификации</t>
  </si>
  <si>
    <t>Достоверность 1–5</t>
  </si>
  <si>
    <t>Скриншот / архив</t>
  </si>
  <si>
    <t>Критерии оценки уровня конкуренции</t>
  </si>
  <si>
    <t>Код</t>
  </si>
  <si>
    <t>Критерий</t>
  </si>
  <si>
    <t>Что проверяется по сайту</t>
  </si>
  <si>
    <t>Индикаторы</t>
  </si>
  <si>
    <t>Вес</t>
  </si>
  <si>
    <t>0 баллов</t>
  </si>
  <si>
    <t>1 балл</t>
  </si>
  <si>
    <t>3 балла</t>
  </si>
  <si>
    <t>5 баллов</t>
  </si>
  <si>
    <t>Обязателен для прямого конкурента</t>
  </si>
  <si>
    <t>C1</t>
  </si>
  <si>
    <t>Потребительская задача</t>
  </si>
  <si>
    <t>Задача не совпадает</t>
  </si>
  <si>
    <t>Есть общее отраслевое сходство</t>
  </si>
  <si>
    <t>Задача в значительной степени совпадает</t>
  </si>
  <si>
    <t>Та же задача и тот же ожидаемый результат</t>
  </si>
  <si>
    <t>Да</t>
  </si>
  <si>
    <t>C2</t>
  </si>
  <si>
    <t>Целевая аудитория</t>
  </si>
  <si>
    <t>Иная аудитория</t>
  </si>
  <si>
    <t>Частичное пересечение</t>
  </si>
  <si>
    <t>Существенное пересечение</t>
  </si>
  <si>
    <t>Та же целевая аудитория</t>
  </si>
  <si>
    <t>C3</t>
  </si>
  <si>
    <t>Функциональная заменяемость товара</t>
  </si>
  <si>
    <t>Не заменяет</t>
  </si>
  <si>
    <t>Заменяет отдельный участок</t>
  </si>
  <si>
    <t>Заменяет значимую часть задачи</t>
  </si>
  <si>
    <t>Может полностью заменить товар</t>
  </si>
  <si>
    <t>C4</t>
  </si>
  <si>
    <t>Сценарий использования</t>
  </si>
  <si>
    <t>Иной сценарий</t>
  </si>
  <si>
    <t>Слабое совпадение сценария</t>
  </si>
  <si>
    <t>Сценарии близки</t>
  </si>
  <si>
    <t>Сценарии практически одинаковы</t>
  </si>
  <si>
    <t>Нет</t>
  </si>
  <si>
    <t>C5</t>
  </si>
  <si>
    <t>Ценовой уровень и форма оплаты</t>
  </si>
  <si>
    <t>Нет данных/иная экономика</t>
  </si>
  <si>
    <t>Частично сопоставимо</t>
  </si>
  <si>
    <t>Сопоставимый диапазон</t>
  </si>
  <si>
    <t>Почти тот же диапазон и форма оплаты</t>
  </si>
  <si>
    <t>C6</t>
  </si>
  <si>
    <t>Каналы продаж и привлечения</t>
  </si>
  <si>
    <t>Каналы не совпадают</t>
  </si>
  <si>
    <t>Есть один общий канал</t>
  </si>
  <si>
    <t>Несколько общих каналов</t>
  </si>
  <si>
    <t>Путь к покупке почти одинаков</t>
  </si>
  <si>
    <t>C7</t>
  </si>
  <si>
    <t>География, язык, регулирование</t>
  </si>
  <si>
    <t>Иной рынок</t>
  </si>
  <si>
    <t>Потенциально релевантно</t>
  </si>
  <si>
    <t>Рынки частично совпадают</t>
  </si>
  <si>
    <t>Тот же рынок и условия</t>
  </si>
  <si>
    <t>C8</t>
  </si>
  <si>
    <t>Модель монетизации</t>
  </si>
  <si>
    <t>Иная логика выручки</t>
  </si>
  <si>
    <t>Есть отдельные сходства</t>
  </si>
  <si>
    <t>Модель близка</t>
  </si>
  <si>
    <t>Модель практически совпадает</t>
  </si>
  <si>
    <t>C9</t>
  </si>
  <si>
    <t>Уровень зрелости и доверия</t>
  </si>
  <si>
    <t>Слабые признаки зрелости</t>
  </si>
  <si>
    <t>Единичные признаки</t>
  </si>
  <si>
    <t>Достаточные признаки надежности</t>
  </si>
  <si>
    <t>Сильная доказанная рыночная позиция</t>
  </si>
  <si>
    <t>C10</t>
  </si>
  <si>
    <t>Вероятность переключения клиента</t>
  </si>
  <si>
    <t>Переключение маловероятно</t>
  </si>
  <si>
    <t>Требует значительных усилий</t>
  </si>
  <si>
    <t>Переключение возможно</t>
  </si>
  <si>
    <t>Переключение явно поддерживается</t>
  </si>
  <si>
    <t>Примечание</t>
  </si>
  <si>
    <t>Матрица оценки и автоматическая классификация уровня конкуренции</t>
  </si>
  <si>
    <t>C1 задача</t>
  </si>
  <si>
    <t>C2 аудитория</t>
  </si>
  <si>
    <t>C3 заменяемость</t>
  </si>
  <si>
    <t>C4 сценарий</t>
  </si>
  <si>
    <t>C5 цена</t>
  </si>
  <si>
    <t>C6 каналы</t>
  </si>
  <si>
    <t>C7 география</t>
  </si>
  <si>
    <t>C8 монетизация</t>
  </si>
  <si>
    <t>C9 зрелость</t>
  </si>
  <si>
    <t>C10 переключение</t>
  </si>
  <si>
    <t>Взвешенный балл</t>
  </si>
  <si>
    <t>Ограничитель</t>
  </si>
  <si>
    <t>Расчетный уровень</t>
  </si>
  <si>
    <t>Экспертная корректировка</t>
  </si>
  <si>
    <t>Статус решения</t>
  </si>
  <si>
    <t>Ключевое обоснование</t>
  </si>
  <si>
    <t>Ключевые ссылки</t>
  </si>
  <si>
    <t>Дата проверки</t>
  </si>
  <si>
    <t>Классификация компаний по уровням конкуренции</t>
  </si>
  <si>
    <t>Уровень</t>
  </si>
  <si>
    <t>Определение</t>
  </si>
  <si>
    <t>Ключевой критерий</t>
  </si>
  <si>
    <t>Порог по баллу</t>
  </si>
  <si>
    <t>Обязательные условия</t>
  </si>
  <si>
    <t>Типовые признаки на сайте</t>
  </si>
  <si>
    <t>Решение аналитика</t>
  </si>
  <si>
    <t>Прямой конкурент</t>
  </si>
  <si>
    <t>4,20–5,00</t>
  </si>
  <si>
    <t>Близкий альтернативный конкурент</t>
  </si>
  <si>
    <t>3,40–4,19</t>
  </si>
  <si>
    <t>Косвенный конкурент / заменитель</t>
  </si>
  <si>
    <t>2,50–3,39</t>
  </si>
  <si>
    <t>Смежная или потенциальная конкуренция</t>
  </si>
  <si>
    <t>1,60–2,49</t>
  </si>
  <si>
    <t>Не конкурент / объект наблюдения</t>
  </si>
  <si>
    <t>0,00–1,59</t>
  </si>
  <si>
    <t>Недостаточно данных</t>
  </si>
  <si>
    <t>не применяется</t>
  </si>
  <si>
    <t>Сводка классификации компаний по уровням конкуренции</t>
  </si>
  <si>
    <t>Показатель</t>
  </si>
  <si>
    <t>Значение</t>
  </si>
  <si>
    <t>Всего компаний в реестре</t>
  </si>
  <si>
    <t>Компаний с заполненной оценкой</t>
  </si>
  <si>
    <t>Средний взвешенный балл</t>
  </si>
  <si>
    <t>Компаний с уровнем «Прямой конкурент»</t>
  </si>
  <si>
    <t>Компаний с уровнем «Близкий альтернативный конкурент»</t>
  </si>
  <si>
    <t>Уровень конкуренции</t>
  </si>
  <si>
    <t>Количество</t>
  </si>
  <si>
    <t>Доля</t>
  </si>
  <si>
    <t>Методическое действие</t>
  </si>
  <si>
    <t>Включить в основной бенчмарк и регулярный мониторинг</t>
  </si>
  <si>
    <t>Сравнивать по причинам выбора и формату ценности</t>
  </si>
  <si>
    <t>Оценивать угрозу замещения и конкуренцию за бюджет</t>
  </si>
  <si>
    <t>Наблюдать по сигналам расширения</t>
  </si>
  <si>
    <t>Исключить из основной матрицы</t>
  </si>
  <si>
    <t>Дособрать доказательства</t>
  </si>
  <si>
    <t>Топ компаний по близости к прямой конкуренции</t>
  </si>
  <si>
    <t>Бал</t>
  </si>
  <si>
    <t>Обоснование</t>
  </si>
  <si>
    <t>Карта конкурентной близости</t>
  </si>
  <si>
    <t>X: задача + заменяемость</t>
  </si>
  <si>
    <t>Y: аудитория + рынок</t>
  </si>
  <si>
    <t>Зона карты</t>
  </si>
  <si>
    <t>Доказательства</t>
  </si>
  <si>
    <t>Уровни конкуренции</t>
  </si>
  <si>
    <t>Статусы</t>
  </si>
  <si>
    <t>Приоритеты</t>
  </si>
  <si>
    <t>Типы сигналов с сайта</t>
  </si>
  <si>
    <t>Справочники для выпадающих списков</t>
  </si>
  <si>
    <t>Шкала оценки</t>
  </si>
  <si>
    <t>Интерпретация</t>
  </si>
  <si>
    <t>Не начато</t>
  </si>
  <si>
    <t>Высокий</t>
  </si>
  <si>
    <t>Балл</t>
  </si>
  <si>
    <t>Смысл</t>
  </si>
  <si>
    <t>В работе</t>
  </si>
  <si>
    <t>Средний</t>
  </si>
  <si>
    <t>нет признака / данных</t>
  </si>
  <si>
    <t>Проверено</t>
  </si>
  <si>
    <t>Низкий</t>
  </si>
  <si>
    <t>Цифровой товар</t>
  </si>
  <si>
    <t>слабое или косвенное совпадение</t>
  </si>
  <si>
    <t>Требует уточнения</t>
  </si>
  <si>
    <t>Функциональность</t>
  </si>
  <si>
    <t>частичное совпадение</t>
  </si>
  <si>
    <t>Исключено</t>
  </si>
  <si>
    <t>Цена и тарифы</t>
  </si>
  <si>
    <t>существенное совпадение</t>
  </si>
  <si>
    <t>Монетизация</t>
  </si>
  <si>
    <t>высокое совпадение</t>
  </si>
  <si>
    <t>Каналы продаж</t>
  </si>
  <si>
    <t>полное совпадение</t>
  </si>
  <si>
    <t>География и язык</t>
  </si>
  <si>
    <t>Доверие и зрелость</t>
  </si>
  <si>
    <t>Замена и переключение</t>
  </si>
  <si>
    <t>PlantUML</t>
  </si>
  <si>
    <t>plantuml.com</t>
  </si>
  <si>
    <t>Весь мир (английский язык)</t>
  </si>
  <si>
    <t>Текстовый DSL, открытый код</t>
  </si>
  <si>
    <t>Построение UML-диаграмм из текстового описания, экспорт PNG, LaTeX, EPS, SVG</t>
  </si>
  <si>
    <t>Разработчики, студенты, архитекторы ПО</t>
  </si>
  <si>
    <t>К. А. Хаджинова</t>
  </si>
  <si>
    <t>Mermaid (библиотека)</t>
  </si>
  <si>
    <t>mermaid.js.org</t>
  </si>
  <si>
    <t>Диаграммы и визуализации из текста и кода (JavaScript-библиотека)</t>
  </si>
  <si>
    <t>Разработчики, авторы технической документации</t>
  </si>
  <si>
    <t>Mermaid Chart</t>
  </si>
  <si>
    <t>mermaidchart.com</t>
  </si>
  <si>
    <t>Весь мир (США, Великобритания, Япония в топ-странах)</t>
  </si>
  <si>
    <t>Облачный сервис на основе Mermaid</t>
  </si>
  <si>
    <t>Облачный редактор диаграмм Mermaid с тарифами Free, Plus, Premium</t>
  </si>
  <si>
    <t>Команды разработки и документации</t>
  </si>
  <si>
    <t>D2 (Terrastruct)</t>
  </si>
  <si>
    <t>d2lang.com</t>
  </si>
  <si>
    <t>Весь мир</t>
  </si>
  <si>
    <t>Язык описания диаграмм D2 и документация</t>
  </si>
  <si>
    <t>Разработчики, архитекторы ПО</t>
  </si>
  <si>
    <t>Kroki</t>
  </si>
  <si>
    <t>kroki.io</t>
  </si>
  <si>
    <t>API отрисовки текстовых диаграмм</t>
  </si>
  <si>
    <t>Единый API для отрисовки диаграмм из текста (PlantUML, Mermaid, D2 и др.)</t>
  </si>
  <si>
    <t>Разработчики, интеграторы</t>
  </si>
  <si>
    <t>PlantText</t>
  </si>
  <si>
    <t>planttext.com</t>
  </si>
  <si>
    <t>Весь мир (Индонезия, Боливия, Вьетнам в топ-странах)</t>
  </si>
  <si>
    <t>Онлайн-редактор PlantUML</t>
  </si>
  <si>
    <t>Онлайн-редактор PlantUML: классовые, последовательностные, деятельностные диаграммы</t>
  </si>
  <si>
    <t>Студенты, разработчики</t>
  </si>
  <si>
    <t>StarUML</t>
  </si>
  <si>
    <t>staruml.io</t>
  </si>
  <si>
    <t>Программа для моделирования UML</t>
  </si>
  <si>
    <t>Программа визуального моделирования UML</t>
  </si>
  <si>
    <t>Visual Paradigm</t>
  </si>
  <si>
    <t>visual-paradigm.com</t>
  </si>
  <si>
    <t>Весь мир (Индия, Индонезия, Россия в топ-странах)</t>
  </si>
  <si>
    <t>Платформа UML, BPMN, архитектуры</t>
  </si>
  <si>
    <t>Универсальная платформа моделирования UML, BPMN, Enterprise Architecture с генеративным ИИ</t>
  </si>
  <si>
    <t>Аналитики, архитекторы ПО, студенты</t>
  </si>
  <si>
    <t>Sparx Systems (Enterprise Architect)</t>
  </si>
  <si>
    <t>sparxsystems.com</t>
  </si>
  <si>
    <t>Корпоративная платформа моделирования</t>
  </si>
  <si>
    <t>Enterprise Architect (UML, BPMN)</t>
  </si>
  <si>
    <t>Корпоративные архитекторы</t>
  </si>
  <si>
    <t>bpmn.io</t>
  </si>
  <si>
    <t>Редактор BPMN, открытый код</t>
  </si>
  <si>
    <t>Веб-инструменты для BPMN, DMN, CMMN и форм (встраиваемые)</t>
  </si>
  <si>
    <t>Разработчики, аналитики процессов</t>
  </si>
  <si>
    <t>Camunda (Modeler)</t>
  </si>
  <si>
    <t>camunda.com</t>
  </si>
  <si>
    <t>Платформа оркестрации процессов</t>
  </si>
  <si>
    <t>Платформа агентной оркестрации; Camunda Modeler - отдельный редактор BPMN</t>
  </si>
  <si>
    <t>Корпоративные команды автоматизации</t>
  </si>
  <si>
    <t>Storm (StormBPMN)</t>
  </si>
  <si>
    <t>stormbpmn.com</t>
  </si>
  <si>
    <t>Россия и СНГ (Россия 62,99 %, Беларусь 2,49 %)</t>
  </si>
  <si>
    <t>Платформа процессного управления</t>
  </si>
  <si>
    <t>Платформа из семи модулей: редактор, реестр, архитектура, оргструктура, опросы, ИИ, симуляция</t>
  </si>
  <si>
    <t>Процессные аналитики, русскоязычный рынок</t>
  </si>
  <si>
    <t>draw.io (diagrams.net)</t>
  </si>
  <si>
    <t>app.diagrams.net</t>
  </si>
  <si>
    <t>Весь мир (США, Индонезия, Индия, Китай, Россия)</t>
  </si>
  <si>
    <t>Универсальный редактор диаграмм, открытый код</t>
  </si>
  <si>
    <t>Бесплатный онлайн-редактор блок-схем, UML, ER и других диаграмм</t>
  </si>
  <si>
    <t>Студенты, разработчики, команды</t>
  </si>
  <si>
    <t>Lucidchart</t>
  </si>
  <si>
    <t>lucidchart.com</t>
  </si>
  <si>
    <t>Весь мир (США, Мексика, Бразилия в топ-странах)</t>
  </si>
  <si>
    <t>Универсальный редактор диаграмм (подписка)</t>
  </si>
  <si>
    <t>Облачный редактор диаграмм с тарифами Free, Individual, Team, Enterprise</t>
  </si>
  <si>
    <t>Команды, бизнес-пользователи</t>
  </si>
  <si>
    <t>Creately</t>
  </si>
  <si>
    <t>creately.com</t>
  </si>
  <si>
    <t>Весь мир (США, Индия, Филиппины в топ-странах)</t>
  </si>
  <si>
    <t>Универсальный редактор диаграмм</t>
  </si>
  <si>
    <t>ИИ-платформа визуальной коммуникации: блок-схемы, оргструктуры, ментальные карты</t>
  </si>
  <si>
    <t>Miro</t>
  </si>
  <si>
    <t>miro.com</t>
  </si>
  <si>
    <t>Весь мир (США, Россия, Германия в топ-странах)</t>
  </si>
  <si>
    <t>Универсальная онлайн-доска</t>
  </si>
  <si>
    <t>Платформа визуальной совместной работы (доски)</t>
  </si>
  <si>
    <t>Команды продуктов и дизайна</t>
  </si>
  <si>
    <t>Excalidraw</t>
  </si>
  <si>
    <t>excalidraw.com</t>
  </si>
  <si>
    <t>Весь мир (Индия, США, Китай в топ-странах)</t>
  </si>
  <si>
    <t>Доска со схемами, открытый код</t>
  </si>
  <si>
    <t>Виртуальная доска для набросков диаграмм в рукописном стиле</t>
  </si>
  <si>
    <t>Разработчики, авторы схем</t>
  </si>
  <si>
    <t>dbdiagram.io</t>
  </si>
  <si>
    <t>Весь мир (Индия, США, Индонезия в топ-странах)</t>
  </si>
  <si>
    <t>Текстовый конструктор ERD</t>
  </si>
  <si>
    <t>Схемы баз данных (ERD) из текстового описания на языке DBML</t>
  </si>
  <si>
    <t>Разработчики баз данных</t>
  </si>
  <si>
    <t>DrawSQL</t>
  </si>
  <si>
    <t>drawsql.app</t>
  </si>
  <si>
    <t>Весь мир (география в Similarweb недоступна)</t>
  </si>
  <si>
    <t>Конструктор ERD</t>
  </si>
  <si>
    <t>Интерактивная схема базы данных из SQL</t>
  </si>
  <si>
    <t>Разработчики баз данных, команды</t>
  </si>
  <si>
    <t>Eraser</t>
  </si>
  <si>
    <t>eraser.io</t>
  </si>
  <si>
    <t>ИИ-генерация технических диаграмм</t>
  </si>
  <si>
    <t>Создание технических диаграмм с помощью ИИ</t>
  </si>
  <si>
    <t>Инженерные команды, разработчики</t>
  </si>
  <si>
    <t>Whimsical</t>
  </si>
  <si>
    <t>whimsical.com</t>
  </si>
  <si>
    <t>Универсальный редактор диаграмм и досок</t>
  </si>
  <si>
    <t>Редактор диаграмм, схем интерфейсов и документов; тарифы Free, Pro, Business (страница тарифов, 01.10.2026)</t>
  </si>
  <si>
    <t>Команды продуктов</t>
  </si>
  <si>
    <t>Microsoft Visio</t>
  </si>
  <si>
    <t>microsoft.com/visio</t>
  </si>
  <si>
    <t>Универсальный редактор (подписка)</t>
  </si>
  <si>
    <t>Редактор диаграмм Microsoft Visio (Plan 1, Plan 2)</t>
  </si>
  <si>
    <t>Корпоративные аналитики</t>
  </si>
  <si>
    <t>Главная страница (title, description)</t>
  </si>
  <si>
    <t>https://plantuml.com/</t>
  </si>
  <si>
    <t>title: «Open-source tool that uses simple textual descriptions to draw beautiful UML diagrams.»; description: «Easily create beautiful UML Diagrams from simple textual description. There are also numerous kind of available diagrams. It's also possible to export images in PNG, LaTeX, EPS, SVG.»</t>
  </si>
  <si>
    <t>Главное обещание совпадает с задачей NotaCode: диаграммы UML из текста</t>
  </si>
  <si>
    <t>sajty_konkurentov_title_description_2026-09-30.json</t>
  </si>
  <si>
    <t>метаданные главной страницы, curl 30.09.2026</t>
  </si>
  <si>
    <t>Similarweb Pro, Website performance</t>
  </si>
  <si>
    <t>https://pro.similarweb.com/</t>
  </si>
  <si>
    <t>739 657 визитов в месяц; уникальных 325 279; длительность 00:04:00; 3,32 стр. за визит; отказы 45,61 %; окно июнь-август 2026, весь мир</t>
  </si>
  <si>
    <t>Масштаб видимости (оценочная модель, не измерение)</t>
  </si>
  <si>
    <t>similarweb_pro_obzor_2026-09-30.csv</t>
  </si>
  <si>
    <t>пробный доступ Similarweb Pro, снимок 30.09.2026</t>
  </si>
  <si>
    <t>Similarweb Pro, Marketing channels</t>
  </si>
  <si>
    <t>Прямой 38,11 %; органический поиск 47,25 %; платный поиск нет данных; реферальный 5,91 %; соцсети (орг.) 3,62 %</t>
  </si>
  <si>
    <t>Структура привлечения; сравнивается с каналами NotaCode (поиск, сообщества, каталоги расширений)</t>
  </si>
  <si>
    <t>Similarweb Pro, 30.09.2026</t>
  </si>
  <si>
    <t>Similarweb Pro, Geography</t>
  </si>
  <si>
    <t>Топ-5 стран: RU 9.21/ID 6.08/DE 5.61/JP 5.43/US 3.66</t>
  </si>
  <si>
    <t>Пересечение с рынком РБ и РФ/СНГ оценивается по наличию RU и BY среди стран</t>
  </si>
  <si>
    <t>Similarweb Pro, 30.09.2026; доля Беларуси недоступна (пробный доступ)</t>
  </si>
  <si>
    <t>Яндекс Вордстат, Беларусь</t>
  </si>
  <si>
    <t>https://wordstat.yandex.ru/</t>
  </si>
  <si>
    <t>Запрос «plantuml»: 200 запросов в месяц (регион Беларусь, все устройства)</t>
  </si>
  <si>
    <t>Спрос в РБ по бренду как признак пересечения по каналу выбора</t>
  </si>
  <si>
    <t>wordstat_zaprosy_RB_2026-09-30.csv</t>
  </si>
  <si>
    <t>Вордстат, 30.09.2026</t>
  </si>
  <si>
    <t>Тарифы и цена</t>
  </si>
  <si>
    <t>открытый код, бесплатно (ЛР1, табл. 42)</t>
  </si>
  <si>
    <t>ЛР1 табл. 42; ЛР2-3 табл. 70</t>
  </si>
  <si>
    <t>значения считаны с официальных страниц 30.09.2026 (ЛР1, ЛР2-3)</t>
  </si>
  <si>
    <t>Отзывы и рейтинги (каталоги)</t>
  </si>
  <si>
    <t>https://www.g2.com/ ; https://www.capterra.com/ ; https://www.trustpilot.com/review/plantuml.com</t>
  </si>
  <si>
    <t>оценки расширений: VS Marketplace jebbs.plantuml 4,72 (105), JetBrains plantuml4idea 4,63 (102); G2 и Trustpilot: карточка не найдена</t>
  </si>
  <si>
    <t>Независимые отзывы; тональность может быть смещена</t>
  </si>
  <si>
    <t>rev05.csv; trustpilot_reviews_2026-09-30.json; marketplaces.csv</t>
  </si>
  <si>
    <t>значения считаны 30.09.2026</t>
  </si>
  <si>
    <t>GitHub (репозиторий)</t>
  </si>
  <si>
    <t>https://github.com/plantuml/plantuml</t>
  </si>
  <si>
    <t>Активность сообщества и открытость кода</t>
  </si>
  <si>
    <t>github_repos_2026-09-30.json</t>
  </si>
  <si>
    <t>GitHub REST API, 30.09.2026</t>
  </si>
  <si>
    <t>Регистрационные данные домена (RDAP)</t>
  </si>
  <si>
    <t>https://rdap.org/domain/plantuml.com</t>
  </si>
  <si>
    <t>Возраст домена или репозитория около 15,8 лет (верхняя оценка возраста бренда)</t>
  </si>
  <si>
    <t>Историю продукта подтверждает косвенно</t>
  </si>
  <si>
    <t>vozrast_domenov_raschet_2026-09-30.json</t>
  </si>
  <si>
    <t>RDAP, 30.09.2026</t>
  </si>
  <si>
    <t>Признаки на главной странице (HTML)</t>
  </si>
  <si>
    <t>Совпадения шаблонов в HTML: вход - 0, тарифы - 0, интеграции - 0, вакансии - 0, магазин приложений - 0, GitHub - 4</t>
  </si>
  <si>
    <t>sajty_konkurentov_priznaki_2026-09-30.json</t>
  </si>
  <si>
    <t>curl главной страницы, 30.09.2026</t>
  </si>
  <si>
    <t>Совместимость форматов NotaCode</t>
  </si>
  <si>
    <t>docs/business/01-project-concept.md, разделы 2 и 5</t>
  </si>
  <si>
    <t>В документации проекта предусмотрены экспорт и импорт форматов PlantUML, Mermaid, D2, BPMN XML, draw.io</t>
  </si>
  <si>
    <t>Переключение с формата этого инструмента на NotaCode возможно при реализации импорта (план)</t>
  </si>
  <si>
    <t>NotaCode/docs/business/01-project-concept.md</t>
  </si>
  <si>
    <t>импорт - не в MVP</t>
  </si>
  <si>
    <t>https://mermaid.js.org/</t>
  </si>
  <si>
    <t>title: «Mermaid | Diagramming and charting tool»; description: «Create diagrams and visualizations using text and code.»</t>
  </si>
  <si>
    <t>Задача та же (диаграммы из текста и кода), нотаций UML/BPMN/IDEF как набора с проверкой правил в описании нет</t>
  </si>
  <si>
    <t>442 646 визитов в месяц; уникальных 288 229; длительность 00:01:03; 1,86 стр. за визит; отказы 68,57 %; окно июнь-август 2026, весь мир</t>
  </si>
  <si>
    <t>Прямой 22,18 %; органический поиск 58,56 %; платный поиск 0,01 %; реферальный 16,50 %; соцсети (орг.) 1,25 %</t>
  </si>
  <si>
    <t>Топ-5 стран: US 10.22/CN 9.02/IN 7.28/DE 5.97/ID 3.44</t>
  </si>
  <si>
    <t>Запрос «mermaid diagram»: 19 запросов в месяц (регион Беларусь, все устройства); возможна омонимия</t>
  </si>
  <si>
    <t>ЛР1 (Вордстат, 30 дней на 29.09.2026)</t>
  </si>
  <si>
    <t>открытый код (MIT); платные планы у Mermaid Chart</t>
  </si>
  <si>
    <t>https://www.g2.com/ ; https://www.capterra.com/ ; https://www.trustpilot.com/review/mermaid.js.org</t>
  </si>
  <si>
    <t>оценки расширений: VS Marketplace (bierner.markdown-mermaid 60, vstirbu 27, tomoyukim 17) и JetBrains Mermaid 2,96 (65)</t>
  </si>
  <si>
    <t>https://github.com/mermaid-js/mermaid</t>
  </si>
  <si>
    <t>https://rdap.org/domain/mermaid.js.org</t>
  </si>
  <si>
    <t>Возраст домена или репозитория около 11,9 лет (верхняя оценка возраста бренда)</t>
  </si>
  <si>
    <t>Совпадения шаблонов в HTML: вход - 0, тарифы - 0, интеграции - 2, вакансии - 0, магазин приложений - 0, GitHub - 385</t>
  </si>
  <si>
    <t>https://www.mermaidchart.com/</t>
  </si>
  <si>
    <t>title: «Mermaid»; description: «Create diagrams, flowcharts, and documentation with Mermaid»</t>
  </si>
  <si>
    <t>2 535 визитов в месяц; уникальных 1 374; длительность 00:00:02; 1,14 стр. за визит; отказы 50,68 %; окно июнь-август 2026, весь мир</t>
  </si>
  <si>
    <t>Прямой 39,97 %; органический поиск 32,54 %; платный поиск 1,62 %; реферальный 10,32 %; соцсети (орг.) 6,05 %</t>
  </si>
  <si>
    <t>Топ-5 стран: US 31.90/UK 18.54/JP 11.84/VN 8.67/EG 7.45</t>
  </si>
  <si>
    <t>Запрос «mermaidchart»: 0 запросов в месяц (регион Беларусь, все устройства)</t>
  </si>
  <si>
    <t>https://mermaid.ai/pricing</t>
  </si>
  <si>
    <t>https://www.g2.com/ ; https://www.capterra.com/ ; https://www.trustpilot.com/review/mermaidchart.com</t>
  </si>
  <si>
    <t>G2 (карточка Mermaid) 4,8 (16); Trustpilot 3,5 (3); Product Hunt 4,8 (26)</t>
  </si>
  <si>
    <t>https://rdap.org/domain/mermaidchart.com</t>
  </si>
  <si>
    <t>Возраст домена или репозитория около 4,3 лет (верхняя оценка возраста бренда)</t>
  </si>
  <si>
    <t>Совпадения шаблонов в HTML: вход - 4, тарифы - 1, интеграции - 5, вакансии - 0, магазин приложений - 0, GitHub - 68</t>
  </si>
  <si>
    <t>https://d2lang.com/</t>
  </si>
  <si>
    <t>title: «Home | D2 Documentation»; description отсутствует</t>
  </si>
  <si>
    <t>Описание на главной отсутствует (meta description пуста); отнесение по ЛР4 (язык диаграмм D2)</t>
  </si>
  <si>
    <t>61 003 визитов в месяц; уникальных 29 798; длительность 00:01:23; 3,14 стр. за визит; отказы 37,95 %; окно июнь-август 2026, весь мир</t>
  </si>
  <si>
    <t>Прямой 31,44 %; органический поиск 41,37 %; платный поиск нет данных; реферальный 14,72 %; соцсети (орг.) 3,96 %</t>
  </si>
  <si>
    <t>Топ-5 стран: US 13.10/IN 9.79/KR 7.63/CA 5.71/VN 4.49</t>
  </si>
  <si>
    <t>Запрос «d2lang»: 0 запросов в месяц (регион Беларусь, все устройства)</t>
  </si>
  <si>
    <t>https://github.com/terrastruct/d2</t>
  </si>
  <si>
    <t>https://rdap.org/domain/d2lang.com</t>
  </si>
  <si>
    <t>Возраст домена или репозитория около 3,9 лет (верхняя оценка возраста бренда)</t>
  </si>
  <si>
    <t>https://kroki.io/</t>
  </si>
  <si>
    <t>title: «Kroki!»; description отсутствует</t>
  </si>
  <si>
    <t>Отрисовка через API без самостоятельного редактора; NotaCode планирует Kroki как альтернативный движок (документация проекта)</t>
  </si>
  <si>
    <t>33 398 визитов в месяц; уникальных 17 799; длительность 00:00:37; 1,72 стр. за визит; отказы 42,14 %; окно июнь-август 2026, весь мир</t>
  </si>
  <si>
    <t>Прямой 50,99 %; органический поиск 25,62 %; платный поиск 0,08 %; реферальный 15,58 %; соцсети (орг.) 1,16 %</t>
  </si>
  <si>
    <t>Топ-5 стран: US 17.16/SE 8.29/IN 7.63/IL 5.36/ID 5.30</t>
  </si>
  <si>
    <t>Запрос «kroki»: 12 запросов в месяц (регион Беларусь, все устройства); возможна омонимия</t>
  </si>
  <si>
    <t>https://github.com/yuzutech/kroki</t>
  </si>
  <si>
    <t>https://rdap.org/domain/kroki.io</t>
  </si>
  <si>
    <t>Возраст домена или репозитория около 7,7 лет (верхняя оценка возраста бренда)</t>
  </si>
  <si>
    <t>Совпадения шаблонов в HTML: вход - 0, тарифы - 0, интеграции - 0, вакансии - 0, магазин приложений - 0, GitHub - 28</t>
  </si>
  <si>
    <t>https://www.planttext.com/</t>
  </si>
  <si>
    <t>title: «PlantUML Editor Online - Free &amp; Fast UML Diagram Tool | PlantText»; description: «PlantText is the fastest online PlantUML editor. Write UML diagrams as code and instantly generate class, sequence, activity, and state diagrams. No installation needed.»</t>
  </si>
  <si>
    <t>В заголовке заявлены бесплатность и онлайн-доступ; редактор поверх PlantUML</t>
  </si>
  <si>
    <t>339 451 визитов в месяц; уникальных 140 856; длительность 00:02:43; 2,74 стр. за визит; отказы 45,57 %; окно июнь-август 2026, весь мир</t>
  </si>
  <si>
    <t>Прямой 43,52 %; органический поиск 42,30 %; платный поиск нет данных; реферальный 5,64 %; соцсети (орг.) 1,49 %</t>
  </si>
  <si>
    <t>Топ-5 стран: ID 18.62/BO 6.76/VN 5.15/MA 4.05/DE 3.81</t>
  </si>
  <si>
    <t>Запрос «planttext»: 9 запросов в месяц (регион Беларусь, все устройства)</t>
  </si>
  <si>
    <t>заголовок страницы: Free &amp; Fast</t>
  </si>
  <si>
    <t>https://rdap.org/domain/planttext.com</t>
  </si>
  <si>
    <t>Возраст домена или репозитория около 12,8 лет (верхняя оценка возраста бренда)</t>
  </si>
  <si>
    <t>Совпадения шаблонов в HTML: вход - 0, тарифы - 0, интеграции - 1, вакансии - 0, магазин приложений - 0, GitHub - 0</t>
  </si>
  <si>
    <t>https://staruml.io/</t>
  </si>
  <si>
    <t>title: «StarUML»; description: «A sophisticated software modeler for agile and concise modeling»</t>
  </si>
  <si>
    <t>Графический моделер UML; страница тарифов в HTML упомянута 2 раза, цены не получены</t>
  </si>
  <si>
    <t>107 631 визитов в месяц; уникальных 57 431; длительность 00:00:29; 1,78 стр. за визит; отказы 43,01 %; окно июнь-август 2026, весь мир</t>
  </si>
  <si>
    <t>Прямой 15,05 %; органический поиск 78,34 %; платный поиск 0,01 %; реферальный 3,46 %; соцсети (орг.) 1,06 %</t>
  </si>
  <si>
    <t>Топ-5 стран: ID 9.97/IN 6.51/PE 5.55/VN 5.53/CO 4.80</t>
  </si>
  <si>
    <t>Запрос «staruml»: 16 запросов в месяц (регион Беларусь, все устройства)</t>
  </si>
  <si>
    <t>https://rdap.org/domain/staruml.io</t>
  </si>
  <si>
    <t>Возраст домена или репозитория около 13,2 лет (верхняя оценка возраста бренда)</t>
  </si>
  <si>
    <t>Совпадения шаблонов в HTML: вход - 0, тарифы - 2, интеграции - 0, вакансии - 0, магазин приложений - 0, GitHub - 2</t>
  </si>
  <si>
    <t>https://www.visual-paradigm.com/</t>
  </si>
  <si>
    <t>title: «Visual Paradigm - AI-Powered Visual Modeling Platform»; description: «The all-in-one platform for UML, BPMN, Enterprise Architecture, and Agile management. Now supercharged with Generative AI.»</t>
  </si>
  <si>
    <t>Широкий набор нотаций и ИИ; графический ввод, ценовой уровень выше NotaCode</t>
  </si>
  <si>
    <t>1 516 000 визитов в месяц; уникальных 863 503; длительность 00:01:38; 2,52 стр. за визит; отказы 48,74 %; окно июнь-август 2026, весь мир</t>
  </si>
  <si>
    <t>Прямой 22,92 %; органический поиск 67,31 %; платный поиск 0,02 %; реферальный 4,78 %; соцсети (орг.) 2,71 %</t>
  </si>
  <si>
    <t>Топ-5 стран: IN 10.11/ID 9.45/RU 6.98/TW 6.56/US 5.16</t>
  </si>
  <si>
    <t>Запрос «visual paradigm»: 46 запросов в месяц (регион Беларусь, все устройства)</t>
  </si>
  <si>
    <t>https://www.visual-paradigm.com/shop/</t>
  </si>
  <si>
    <t>https://www.g2.com/ ; https://www.capterra.com/ ; https://www.trustpilot.com/review/visual-paradigm.com</t>
  </si>
  <si>
    <t>Capterra 4,3 (19); Trustpilot 3,5 (2)</t>
  </si>
  <si>
    <t>https://rdap.org/domain/visual-paradigm.com</t>
  </si>
  <si>
    <t>Возраст домена или репозитория около 25,3 лет (верхняя оценка возраста бренда)</t>
  </si>
  <si>
    <t>Совпадения шаблонов в HTML: вход - 2, тарифы - 0, интеграции - 5, вакансии - 0, магазин приложений - 0, GitHub - 0</t>
  </si>
  <si>
    <t>149 507 визитов в месяц; уникальных 72 694; длительность 00:00:57; 2,05 стр. за визит; отказы 42,52 %; окно июнь-август 2026, весь мир</t>
  </si>
  <si>
    <t>Прямой 27,43 %; органический поиск 58,22 %; платный поиск 1,48 %; реферальный 7,95 %; соцсети (орг.) 3,13 %</t>
  </si>
  <si>
    <t>Топ-5 стран: ID 8.66/DE 6.39/US 4.96/IN 4.66/RU 3.85</t>
  </si>
  <si>
    <t>Запрос «sparx enterprise architect»: 9 запросов в месяц (регион Беларусь, все устройства)</t>
  </si>
  <si>
    <t>https://www.g2.com/ ; https://www.capterra.com/ ; https://www.trustpilot.com/review/sparxsystems.com</t>
  </si>
  <si>
    <t>Trustpilot: профиль без отзывов</t>
  </si>
  <si>
    <t>https://rdap.org/domain/sparxsystems.com</t>
  </si>
  <si>
    <t>Возраст домена или репозитория около 24,2 лет (верхняя оценка возраста бренда)</t>
  </si>
  <si>
    <t>Доступность главной страницы</t>
  </si>
  <si>
    <t>https://sparxsystems.com/</t>
  </si>
  <si>
    <t>Автоматический запрос вернул HTTP 403; содержимое не получено</t>
  </si>
  <si>
    <t>Описание продукта с сайта не использовано; нужен ручной просмотр</t>
  </si>
  <si>
    <t>https://bpmn.io/</t>
  </si>
  <si>
    <t>title: «Web-based tooling for BPMN, DMN, CMMN, and Forms | bpmn.io»; description: «Learn about our embeddable, web-based tooling for BPMN, DMN, CMMN, and Forms.»</t>
  </si>
  <si>
    <t>Только BPMN-семейство; в NotaCode BPMN относится ко второй волне нотаций</t>
  </si>
  <si>
    <t>199 080 визитов в месяц; уникальных 93 487; длительность 00:01:34; 2,00 стр. за визит; отказы 39,64 %; окно июнь-август 2026, весь мир</t>
  </si>
  <si>
    <t>Прямой 55,20 %; органический поиск 35,18 %; платный поиск нет данных; реферальный 4,11 %; соцсети (орг.) 1,52 %</t>
  </si>
  <si>
    <t>Топ-5 стран: BR 8.46/DE 7.55/ID 6.73/RU 6.39/US 4.94</t>
  </si>
  <si>
    <t>Запрос «bpmn io»: 37 запросов в месяц (регион Беларусь, все устройства)</t>
  </si>
  <si>
    <t>https://github.com/bpmn-io/bpmn-js</t>
  </si>
  <si>
    <t>https://rdap.org/domain/bpmn.io</t>
  </si>
  <si>
    <t>Возраст домена или репозитория около 12,7 лет (верхняя оценка возраста бренда)</t>
  </si>
  <si>
    <t>Совпадения шаблонов в HTML: вход - 2, тарифы - 0, интеграции - 0, вакансии - 1, магазин приложений - 0, GitHub - 2</t>
  </si>
  <si>
    <t>https://camunda.com/</t>
  </si>
  <si>
    <t>title: «Agentic Orchestration Platform | Camunda»; description: «Camunda is the open platform for agentic orchestration. Coordinate AI agents, people, and systems across end-to-end processes with governance and control.»</t>
  </si>
  <si>
    <t>Классифицируется Modeler, а не вся компания; главная страница описывает платформу оркестрации</t>
  </si>
  <si>
    <t>Запрос «camunda modeler»: 17 запросов в месяц (регион Беларусь, все устройства)</t>
  </si>
  <si>
    <t>https://www.g2.com/ ; https://www.capterra.com/ ; https://www.trustpilot.com/review/camunda.com</t>
  </si>
  <si>
    <t>Trustpilot 3,2 (1)</t>
  </si>
  <si>
    <t>https://github.com/camunda/camunda-modeler</t>
  </si>
  <si>
    <t>https://rdap.org/domain/camunda.com</t>
  </si>
  <si>
    <t>Возраст домена или репозитория около 21,6 лет (верхняя оценка возраста бренда)</t>
  </si>
  <si>
    <t>Совпадения шаблонов в HTML: вход - 0, тарифы - 3, интеграции - 0, вакансии - 1, магазин приложений - 0, GitHub - 6</t>
  </si>
  <si>
    <t>https://stormbpmn.com/</t>
  </si>
  <si>
    <t>Русскоязычная платформа; BPMN-редактор входит в состав платформы процессного управления</t>
  </si>
  <si>
    <t>92 936 визитов в месяц; уникальных 34 305; длительность 00:03:51; 5,25 стр. за визит; отказы 41,50 %; окно июнь-август 2026, весь мир</t>
  </si>
  <si>
    <t>Прямой 57,33 %; органический поиск 20,91 %; платный поиск 1,32 %; реферальный 10,72 %; соцсети (орг.) 2,59 %</t>
  </si>
  <si>
    <t>Топ-5 стран: RU 62.99/US 13.29/DE 5.93/UZ 3.09/BY 2.49</t>
  </si>
  <si>
    <t>Запрос «stormbpmn»: 2 запросов в месяц (регион Беларусь, все устройства)</t>
  </si>
  <si>
    <t>https://rdap.org/domain/stormbpmn.com</t>
  </si>
  <si>
    <t>Возраст домена или репозитория около 4,5 лет (верхняя оценка возраста бренда)</t>
  </si>
  <si>
    <t>Совпадения шаблонов в HTML: вход - 3, тарифы - 4, интеграции - 2, вакансии - 0, магазин приложений - 0, GitHub - 0</t>
  </si>
  <si>
    <t>https://app.diagrams.net/</t>
  </si>
  <si>
    <t>title: «Flowchart Maker &amp; Online Diagram Software»; description: «draw.io is free online diagram software for making flowcharts, process diagrams, org charts, UML, ER and network diagrams»</t>
  </si>
  <si>
    <t>Универсальный графический редактор; бесплатный, открытый код, заявлено более 100 млн пользователей</t>
  </si>
  <si>
    <t>Главная страница drawio.com (title, description)</t>
  </si>
  <si>
    <t>https://www.drawio.com/</t>
  </si>
  <si>
    <t>Заявлены бесплатность, открытый код, более 100 млн пользователей и хранение данных у пользователя</t>
  </si>
  <si>
    <t>8 497 000 визитов в месяц; уникальных 3 175 000; длительность 00:03:46; 3,19 стр. за визит; отказы 54,72 %; окно июнь-август 2026, весь мир</t>
  </si>
  <si>
    <t>Прямой 68,39 %; органический поиск 13,96 %; платный поиск 0,02 %; реферальный 9,72 %; соцсети (орг.) 2,07 %</t>
  </si>
  <si>
    <t>Топ-5 стран: US 9.85/ID 8.06/IN 6.92/CN 4.68/RU 4.42</t>
  </si>
  <si>
    <t>Запрос «draw io»: 1072 запросов в месяц (регион Беларусь, все устройства)</t>
  </si>
  <si>
    <t>полностью бесплатный, открытый код (Apache 2.0) (ЛР1, табл. 42)</t>
  </si>
  <si>
    <t>https://www.g2.com/ ; https://www.capterra.com/ ; https://www.trustpilot.com/review/app.diagrams.net</t>
  </si>
  <si>
    <t>Capterra 4,6 (773); Trustpilot draw.io 3,4 (11) и diagrams.net 3,8 (2); Atlassian Marketplace draw.io Diagrams 4,8 (1 205)</t>
  </si>
  <si>
    <t>https://github.com/jgraph/drawio</t>
  </si>
  <si>
    <t>https://rdap.org/domain/app.diagrams.net</t>
  </si>
  <si>
    <t>Возраст домена или репозитория около 16,5 лет (верхняя оценка возраста бренда)</t>
  </si>
  <si>
    <t>Совпадения шаблонов в HTML: вход - 1, тарифы - 0, интеграции - 0, вакансии - 0, магазин приложений - 0, GitHub - 0</t>
  </si>
  <si>
    <t>https://www.lucidchart.com/</t>
  </si>
  <si>
    <t>title: «Lucidchart | Diagramming Powered By Intelligence»; description: «Diagramming powered by intelligence (страница lucid.co/lucidchart, 01.10.2026, встроенный браузер)»</t>
  </si>
  <si>
    <t>Главная страница вернула HTTP 403; описание продукта не получено, оценка по ЛР1, ЛР2-3, G2, Capterra</t>
  </si>
  <si>
    <t>703 574 визитов в месяц; уникальных 473 804; длительность 00:00:31; 1,41 стр. за визит; отказы 65,49 %; окно июнь-август 2026, весь мир</t>
  </si>
  <si>
    <t>Прямой 11,33 %; органический поиск 55,95 %; платный поиск 22,55 %; реферальный 2,71 %; соцсети (орг.) 1,34 %</t>
  </si>
  <si>
    <t>Топ-5 стран: US 13.20/MX 5.67/BR 4.27/IN 3.74/CO 3.54</t>
  </si>
  <si>
    <t>Запрос «lucidchart»: 24 запросов в месяц (регион Беларусь, все устройства)</t>
  </si>
  <si>
    <t>https://lucid.app/pricing/lucidchart</t>
  </si>
  <si>
    <t>https://www.g2.com/ ; https://www.capterra.com/ ; https://www.trustpilot.com/review/lucidchart.com</t>
  </si>
  <si>
    <t>G2 4,5 (8 988); Capterra/GetApp/Software Advice 4,5 (2 264); Trustpilot lucidchart.com 1,5 (116)</t>
  </si>
  <si>
    <t>https://rdap.org/domain/lucidchart.com</t>
  </si>
  <si>
    <t>Возраст домена или репозитория около 18,0 лет (верхняя оценка возраста бренда)</t>
  </si>
  <si>
    <t>https://creately.com/</t>
  </si>
  <si>
    <t>title: «Creately | Visual Collaboration &amp; Diagramming Platform»; description: «Creately is an AI-powered diagramming and visual collaboration platform for creating flowcharts, org charts, mind maps, genograms, whiteboards, workflows, and diagrams online with your team.»</t>
  </si>
  <si>
    <t>Универсальный редактор; отзывы на Trustpilot низкие (1,9 из 5 при 58 отзывах)</t>
  </si>
  <si>
    <t>784 067 визитов в месяц; уникальных 493 655; длительность 00:02:18; 8,57 стр. за визит; отказы 42,98 %; окно июнь-август 2026, весь мир</t>
  </si>
  <si>
    <t>Прямой 19,05 %; органический поиск 73,18 %; платный поиск 0,71 %; реферальный 2,76 %; соцсети (орг.) 2,15 %</t>
  </si>
  <si>
    <t>Топ-5 стран: US 13.96/IN 6.00/PH 5.20/ID 4.18/MX 3.73</t>
  </si>
  <si>
    <t>Запрос «creately»: 4 запросов в месяц (регион Беларусь, все устройства)</t>
  </si>
  <si>
    <t>https://creately.com/plans/</t>
  </si>
  <si>
    <t>https://www.g2.com/ ; https://www.capterra.com/ ; https://www.trustpilot.com/review/creately.com</t>
  </si>
  <si>
    <t>Capterra 4,4 (216); Trustpilot 1,9 (58)</t>
  </si>
  <si>
    <t>https://rdap.org/domain/creately.com</t>
  </si>
  <si>
    <t>Возраст домена или репозитория около 18,2 лет (верхняя оценка возраста бренда)</t>
  </si>
  <si>
    <t>Совпадения шаблонов в HTML: вход - 1, тарифы - 0, интеграции - 3, вакансии - 1, магазин приложений - 0, GitHub - 0</t>
  </si>
  <si>
    <t>https://miro.com/</t>
  </si>
  <si>
    <t>title: «AI Innovation Workspace | Miro»; description: «Speed up product development from ideation to launch. Align teams, break tool silos and ship what customers need in one AI-powered visual platform.»</t>
  </si>
  <si>
    <t>Доска для совместной работы; в продуктовые границы ЛР1 как самостоятельный рынок не входит</t>
  </si>
  <si>
    <t>27 510 000 визитов в месяц; уникальных 6 161 000; длительность 00:03:20; 2,97 стр. за визит; отказы 50,03 %; окно июнь-август 2026, весь мир</t>
  </si>
  <si>
    <t>Прямой 65,72 %; органический поиск 12,20 %; платный поиск 0,65 %; реферальный 7,84 %; соцсети (орг.) 8,32 %</t>
  </si>
  <si>
    <t>Топ-5 стран: US 14.94/RU 9.79/DE 6.80/UK 5.82/BR 5.29</t>
  </si>
  <si>
    <t>Запрос «miro»: 1660 запросов в месяц (регион Беларусь, все устройства)</t>
  </si>
  <si>
    <t>https://miro.com/pricing/</t>
  </si>
  <si>
    <t>https://www.g2.com/ ; https://www.capterra.com/ ; https://www.trustpilot.com/review/miro.com</t>
  </si>
  <si>
    <t>G2 4,6 (13 583); Capterra 4,7 (1 705); Trustpilot 2,1 (155)</t>
  </si>
  <si>
    <t>https://rdap.org/domain/miro.com</t>
  </si>
  <si>
    <t>Возраст домена или репозитория около 31,1 лет (верхняя оценка возраста бренда)</t>
  </si>
  <si>
    <t>Совпадения шаблонов в HTML: вход - 3, тарифы - 8, интеграции - 7, вакансии - 3, магазин приложений - 6, GitHub - 0</t>
  </si>
  <si>
    <t>https://excalidraw.com/</t>
  </si>
  <si>
    <t>title: «Excalidraw Whiteboard»; description: «Excalidraw is a virtual collaborative whiteboard tool that lets you easily sketch diagrams that have a hand-drawn feel to them.»</t>
  </si>
  <si>
    <t>Наброски вместо нотационных диаграмм; репозиторий с 133 301 звездой</t>
  </si>
  <si>
    <t>4 253 000 визитов в месяц; уникальных 1 524 000; длительность 00:01:15; 2,01 стр. за визит; отказы 71,07 %; окно июнь-август 2026, весь мир</t>
  </si>
  <si>
    <t>Прямой 66,06 %; органический поиск 23,78 %; платный поиск 0,05 %; реферальный 3,33 %; соцсети (орг.) 2,98 %</t>
  </si>
  <si>
    <t>Топ-5 стран: IN 16.03/US 14.83/CN 5.43/ID 3.71/DE 3.31</t>
  </si>
  <si>
    <t>Запрос «excalidraw»: 70 запросов в месяц (регион Беларусь, все устройства)</t>
  </si>
  <si>
    <t>https://github.com/excalidraw/excalidraw</t>
  </si>
  <si>
    <t>https://rdap.org/domain/excalidraw.com</t>
  </si>
  <si>
    <t>Возраст домена или репозитория около 6,7 лет (верхняя оценка возраста бренда)</t>
  </si>
  <si>
    <t>Совпадения шаблонов в HTML: вход - 0, тарифы - 0, интеграции - 0, вакансии - 0, магазин приложений - 0, GitHub - 0</t>
  </si>
  <si>
    <t>https://dbdiagram.io/</t>
  </si>
  <si>
    <t>title: «dbdiagram.io - Database Relationship Diagrams Design Tool»; description: «Quick and simple free tool to help you draw your database relationship diagrams and flow quickly using simple DSL language.»</t>
  </si>
  <si>
    <t>Одна нотация (ERD) с вводом текстом; ERD входит в первую волну нотаций NotaCode</t>
  </si>
  <si>
    <t>655 207 визитов в месяц; уникальных 245 988; длительность 00:03:14; 2,68 стр. за визит; отказы 46,82 %; окно июнь-август 2026, весь мир</t>
  </si>
  <si>
    <t>Прямой 61,73 %; органический поиск 18,78 %; платный поиск 0,02 %; реферальный 7,06 %; соцсети (орг.) 5,36 %</t>
  </si>
  <si>
    <t>Топ-5 стран: IN 8.23/US 7.87/ID 5.64/KR 5.52/CO 3.51</t>
  </si>
  <si>
    <t>Запрос «dbdiagram»: 2 запросов в месяц (регион Беларусь, все устройства)</t>
  </si>
  <si>
    <t>https://dbdiagram.io/pricing</t>
  </si>
  <si>
    <t>https://github.com/holistics/dbml</t>
  </si>
  <si>
    <t>https://rdap.org/domain/dbdiagram.io</t>
  </si>
  <si>
    <t>Возраст домена или репозитория около 8,1 лет (верхняя оценка возраста бренда)</t>
  </si>
  <si>
    <t>https://drawsql.app/</t>
  </si>
  <si>
    <t>Одна нотация (ERD); данные по каналам и географии в Similarweb недоступны</t>
  </si>
  <si>
    <t>123 677 визитов в месяц; уникальных 57 400; длительность 00:01:19; 2,52 стр. за визит; отказы 42,95 %; окно июнь-август 2026, весь мир</t>
  </si>
  <si>
    <t>Запрос «drawsql»: 2 запросов в месяц (регион Беларусь, все устройства)</t>
  </si>
  <si>
    <t>https://rdap.org/domain/drawsql.app</t>
  </si>
  <si>
    <t>Возраст домена или репозитория около 8,4 лет (верхняя оценка возраста бренда)</t>
  </si>
  <si>
    <t>Совпадения шаблонов в HTML: вход - 2, тарифы - 3, интеграции - 0, вакансии - 0, магазин приложений - 0, GitHub - 0</t>
  </si>
  <si>
    <t>https://www.eraser.io/</t>
  </si>
  <si>
    <t>title: «Eraser – AI for diagrams that matter»; description: «Create technical diagrams using AI. Deliver consistent, accurate designs faster.»</t>
  </si>
  <si>
    <t>ИИ-режим сопоставим с режимами ИИ-ассистента NotaCode; раздел обзора Similarweb данных не показал</t>
  </si>
  <si>
    <t>Запрос «eraser io»: 2 запросов в месяц (регион Беларусь, все устройства)</t>
  </si>
  <si>
    <t>https://www.eraser.io/pricing</t>
  </si>
  <si>
    <t>https://www.g2.com/ ; https://www.capterra.com/ ; https://www.trustpilot.com/review/eraser.io</t>
  </si>
  <si>
    <t>Product Hunt 4,9 (10); расширение VS Code 4,8 (5)</t>
  </si>
  <si>
    <t>https://rdap.org/domain/eraser.io</t>
  </si>
  <si>
    <t>Возраст домена или репозитория около 12,0 лет (верхняя оценка возраста бренда)</t>
  </si>
  <si>
    <t>Совпадения шаблонов в HTML: вход - 6, тарифы - 2, интеграции - 6, вакансии - 0, магазин приложений - 0, GitHub - 1</t>
  </si>
  <si>
    <t>https://whimsical.com/</t>
  </si>
  <si>
    <t>title: «Whimsical - The whiteboard for product builders»; description: «Диаграммы, схемы интерфейсов, документы (страница whimsical.com, 01.10.2026)»</t>
  </si>
  <si>
    <t>Главная страница и тарифы просмотрены 01.10.2026: диаграммы и схемы интерфейсов для команд продуктов, формальных нотаций UML и BPMN как набора нет; Similarweb не собирался; запрос «whimsical» в Вордстате - омоним</t>
  </si>
  <si>
    <t>Запрос «whimsical»: 59 запросов в месяц (регион Беларусь, все устройства); омоним, спрос на сервис не выделяется</t>
  </si>
  <si>
    <t>https://whimsical.com/pricing</t>
  </si>
  <si>
    <t>https://www.g2.com/ ; https://www.capterra.com/ ; https://www.trustpilot.com/review/whimsical.com</t>
  </si>
  <si>
    <t>Capterra 4,7 (59)</t>
  </si>
  <si>
    <t>Запрос «visio»: 1501 запросов в месяц (регион Беларусь, все устройства)</t>
  </si>
  <si>
    <t>https://www.microsoft.com/ru-ru/microsoft-365/visio/flowchart-software</t>
  </si>
  <si>
    <t>02_Доказательства: 11 строк (ID K001); ЛР1 табл. 44; ЛР2-3 (маркетплейсы); Вордстат 29.08-27.09.2026</t>
  </si>
  <si>
    <t>Уверенность: средняя; заполнено критериев: 10 из 10</t>
  </si>
  <si>
    <t>02_Доказательства: 11 строк</t>
  </si>
  <si>
    <t>02_Доказательства: 11 строк (ID K002)</t>
  </si>
  <si>
    <t>02_Доказательства: 10 строк (ID K003)</t>
  </si>
  <si>
    <t>02_Доказательства: 10 строк</t>
  </si>
  <si>
    <t>02_Доказательства: 9 строк (ID K004)</t>
  </si>
  <si>
    <t>Уверенность: средняя; заполнено критериев: 8 из 10</t>
  </si>
  <si>
    <t>02_Доказательства: 9 строк</t>
  </si>
  <si>
    <t>02_Доказательства: 8 строк (ID K005)</t>
  </si>
  <si>
    <t>Уверенность: средняя; заполнено критериев: 7 из 10</t>
  </si>
  <si>
    <t>02_Доказательства: 8 строк</t>
  </si>
  <si>
    <t>02_Доказательства: 9 строк (ID K006)</t>
  </si>
  <si>
    <t>02_Доказательства: 7 строк (ID K007)</t>
  </si>
  <si>
    <t>02_Доказательства: 7 строк</t>
  </si>
  <si>
    <t>02_Доказательства: 9 строк (ID K008)</t>
  </si>
  <si>
    <t>Уверенность: средняя; заполнено критериев: 9 из 10</t>
  </si>
  <si>
    <t>02_Доказательства: 7 строк (ID K009)</t>
  </si>
  <si>
    <t>Уверенность: низкая; заполнено критериев: 5 из 10</t>
  </si>
  <si>
    <t>02_Доказательства: 9 строк (ID K010)</t>
  </si>
  <si>
    <t>02_Доказательства: 7 строк (ID K011)</t>
  </si>
  <si>
    <t>02_Доказательства: 7 строк (ID K012)</t>
  </si>
  <si>
    <t>02_Доказательства: 12 строк (ID K013)</t>
  </si>
  <si>
    <t>02_Доказательства: 12 строк</t>
  </si>
  <si>
    <t>02_Доказательства: 9 строк (ID K014)</t>
  </si>
  <si>
    <t>02_Доказательства: 9 строк (ID K015)</t>
  </si>
  <si>
    <t>02_Доказательства: 9 строк (ID K016)</t>
  </si>
  <si>
    <t>02_Доказательства: 8 строк (ID K017)</t>
  </si>
  <si>
    <t>02_Доказательства: 9 строк (ID K018)</t>
  </si>
  <si>
    <t>02_Доказательства: 5 строк (ID K019)</t>
  </si>
  <si>
    <t>Уверенность: средняя; заполнено критериев: 6 из 10</t>
  </si>
  <si>
    <t>02_Доказательства: 5 строк</t>
  </si>
  <si>
    <t>02_Доказательства: 6 строк (ID K020)</t>
  </si>
  <si>
    <t>02_Доказательства: 6 строк</t>
  </si>
  <si>
    <t>02_Доказательства: 4 строк (ID K021)</t>
  </si>
  <si>
    <t>02_Доказательства: 4 строк</t>
  </si>
  <si>
    <t>02_Доказательства: 2 строк (ID K022)</t>
  </si>
  <si>
    <t>Уверенность: низкая; заполнено критериев: 8 из 10</t>
  </si>
  <si>
    <t>02_Доказательства: 2 строк</t>
  </si>
  <si>
    <t>Журнал рабочей копии: исправления шаблона, шкала, правила баллов, незаполненные данные</t>
  </si>
  <si>
    <t>Раздел</t>
  </si>
  <si>
    <t>Исправления рабочей копии шаблона</t>
  </si>
  <si>
    <t>Д-1</t>
  </si>
  <si>
    <t>Д-2</t>
  </si>
  <si>
    <t>Д-3</t>
  </si>
  <si>
    <t>Д-4</t>
  </si>
  <si>
    <t>Д-6</t>
  </si>
  <si>
    <t>Д-7</t>
  </si>
  <si>
    <t>Д-8</t>
  </si>
  <si>
    <t>Д-5</t>
  </si>
  <si>
    <t>Шкала</t>
  </si>
  <si>
    <t>Ш-1</t>
  </si>
  <si>
    <t>Ш-2</t>
  </si>
  <si>
    <t>Правила баллов</t>
  </si>
  <si>
    <t>П-1</t>
  </si>
  <si>
    <t>П-2</t>
  </si>
  <si>
    <t>П-3</t>
  </si>
  <si>
    <t>П-4</t>
  </si>
  <si>
    <t>П-5</t>
  </si>
  <si>
    <t>П-6</t>
  </si>
  <si>
    <t>П-7</t>
  </si>
  <si>
    <t>П-8</t>
  </si>
  <si>
    <t>П-9</t>
  </si>
  <si>
    <t>Т-1</t>
  </si>
  <si>
    <t>Т-2</t>
  </si>
  <si>
    <t>Т-3</t>
  </si>
  <si>
    <t>Т-4</t>
  </si>
  <si>
    <t>Т-5</t>
  </si>
  <si>
    <t>Т-6</t>
  </si>
  <si>
    <t>Т-7</t>
  </si>
  <si>
    <t>Прямой конкурент – это не просто похожая компания</t>
  </si>
  <si>
    <t>30.09.2026</t>
  </si>
  <si>
    <t>title: «Storm – платформа процессного управления»; description: «Одна платформа – семь модулей: редактор, реестр, архитектура, оргструктура, опросы, ИИ и симуляция.»</t>
  </si>
  <si>
    <t>title: «Security-first diagramming for teams | draw.io»; description: «Free, open source diagramming application with 100M+ users. Store your data wherever you want–we can't access it.»</t>
  </si>
  <si>
    <t>title: «DrawSQL – Database Schema Diagram Tool for Developers &amp; Teams»; description: «Import your SQL and get an interactive schema diagram – real-time collaboration, driver-aware types, team reviews. Free, no signup.»</t>
  </si>
  <si>
    <t>Ценовая логика сопоставляется с Free и Pro 40 у.е. в год (4 у.е. в месяц) у NotaCode</t>
  </si>
  <si>
    <t>Free (до 6 диаграмм, 15 AI-кредитов); Plus 10 у.е.; Premium 20 у.е. за пользователя в месяц при оплате за год; Enterprise по запросу</t>
  </si>
  <si>
    <t>Подписка: Modeler 6, Standard 19, Professional 35, Enterprise 89 у.е. в месяц; бессрочные лицензии: 99, 349, 799, 1999 у.е.; бесплатного тарифа на странице магазина нет</t>
  </si>
  <si>
    <t>Free (3 редактируемых документа, 75 фигур на документ); Individual 9 у.е.; Team 10 у.е. за пользователя в месяц при оплате за год; Enterprise по запросу</t>
  </si>
  <si>
    <t>Платные тарифы от 5 до 89 у.е. в месяц (ЛР2-3, табл. 70: 15,14 - 269,54 BYN)</t>
  </si>
  <si>
    <t>Free (3 редактируемые доски); Starter 8 у.е.; Business 20 у.е. за участника в месяц при оплате за год; Enterprise по запросу</t>
  </si>
  <si>
    <t>описание: free tool; платный тариф около 8 у.е. (ЛР2-3)</t>
  </si>
  <si>
    <t>Free (0 у.е.; 3 файла, 3 ИИ-диаграммы); Starter 15 у.е. (20 у.е. при помесячной оплате); Business 45 у.е. (60 у.е.); Enterprise по запросу; цены за участника в месяц (страница тарифов, 01.10.2026)</t>
  </si>
  <si>
    <t>Free (0 у.е.; 50 объектов доски и 50 блоков документа в месяц, водяной знак при экспорте); Pro 10 у.е., Business 20 у.е. за редактора в месяц (страница тарифов, 01.10.2026)</t>
  </si>
  <si>
    <t>Plan 1 - 5 у.е., Plan 2 - 15 у.е. за пользователя в месяц при оплате за год; бесплатного тарифа нет (пробный месяц)</t>
  </si>
  <si>
    <t>Собрать первичный перечень компаний из поиска, отраслевых обзоров, каталогов, рекламы, рекомендаций и найденных на сайтах ссылок</t>
  </si>
  <si>
    <t>У каждой компании есть сайт и краткое описание товара</t>
  </si>
  <si>
    <t>В список попали нерелевантные компании без объяснения</t>
  </si>
  <si>
    <t>Оставлять только с пометкой «объект наблюдения» или исключать</t>
  </si>
  <si>
    <t>Сформирован массив для проверки</t>
  </si>
  <si>
    <t>По каждой компании фиксировать факты с сайта: продукт, аудитория, цена, сценарии, каналы, доверие, география</t>
  </si>
  <si>
    <t>Каждый вывод имеет URL и наблюдаемый факт</t>
  </si>
  <si>
    <t>Аналитик записывает мнение без факта</t>
  </si>
  <si>
    <t>Разделять факт и вывод; добавлять ссылку</t>
  </si>
  <si>
    <t>Создана доказательная база</t>
  </si>
  <si>
    <t>Присвоить баллы 0–5 по каждому критерию согласно листу 03</t>
  </si>
  <si>
    <t>Оценка не ставится без доказательств</t>
  </si>
  <si>
    <t>Завышение баллов из-за общего отраслевого сходства</t>
  </si>
  <si>
    <t>Проверять заменяемость товара и потребительскую задачу</t>
  </si>
  <si>
    <t>Получена расчетная классификация</t>
  </si>
  <si>
    <t>Проверить, не мешает ли низкое совпадение задачи или заменяемости присвоить прямую конкуренцию</t>
  </si>
  <si>
    <t>Прямой конкурент невозможен без совпадения задачи и заменяемости</t>
  </si>
  <si>
    <t>Компания названа прямым конкурентом только из-за известности</t>
  </si>
  <si>
    <t>Снизить уровень до альтернативы или заменителя</t>
  </si>
  <si>
    <t>Классификация становится строгой</t>
  </si>
  <si>
    <t>При необходимости изменить уровень, но только с письменным обоснованием</t>
  </si>
  <si>
    <t>У корректировки есть причина и ссылка</t>
  </si>
  <si>
    <t>Корректировка без объяснения</t>
  </si>
  <si>
    <t>Заполнить обоснование и ключевые ссылки</t>
  </si>
  <si>
    <t>Получена финальная классификация</t>
  </si>
  <si>
    <t>Оценить распределение компаний по уровням, выделить прямых конкурентов и ближайшие альтернативы</t>
  </si>
  <si>
    <t>Прямые конкуренты отделены от заменителей и смежных компаний</t>
  </si>
  <si>
    <t>Все компании смешаны в одну группу</t>
  </si>
  <si>
    <t>Использовать уровни и зоны карты отдельно</t>
  </si>
  <si>
    <t>Сформирован список для последующего анализа сайтов, товара и бизнес-модели</t>
  </si>
  <si>
    <t>Уровень конкуренции нельзя назначать только по общему впечатлению от компании. Минимальное основание – сайт, страница товара, тарифы, описание сегмента или иной публичный сигнал</t>
  </si>
  <si>
    <t>Прямым конкурентом считается только тот, кто решает ту же задачу для близкой аудитории с функционально заменяемым цифровым товаром</t>
  </si>
  <si>
    <t>Если конечная потребность похожа, но способ решения другой, компания относится к косвенной конкуренции или заменителям</t>
  </si>
  <si>
    <t>Недостаточно предположить, что компания может войти в рынок. Нужны признаки: смежные продукты, новые разделы, вакансии, партнерства, дорожная карта, объявления</t>
  </si>
  <si>
    <t>Она нужна для спорных случаев, но всегда должна сопровождаться обоснованием и ссылками на доказательства</t>
  </si>
  <si>
    <t>Источник обнаружения: ЛР4 табл. 3 (кандидат 1); ЛР1 табл. 44 (прямой конкурент); Вордстат «plantuml». Переходит в части B и C (одна из семи компаний анализа цифрового товара и бизнес-модели)</t>
  </si>
  <si>
    <t>Источник обнаружения: ЛР4 табл. 3 (кандидат 2); ЛР1 табл. 44 (прямой конкурент). Переходит в части B и C (одна из семи компаний анализа цифрового товара и бизнес-модели)</t>
  </si>
  <si>
    <t>Источник обнаружения: ЛР4 табл. 3 (кандидат 3); ЛР1 табл. 42 (тарифы). Переходит в части B и C (одна из семи компаний анализа цифрового товара и бизнес-модели)</t>
  </si>
  <si>
    <t>Источник обнаружения: ЛР4 табл. 3 (кандидат 4)</t>
  </si>
  <si>
    <t>Источник обнаружения: ЛР4 табл. 3 (кандидат 5); ЛР2-3 (движки рендеринга)</t>
  </si>
  <si>
    <t>Источник обнаружения: ЛР4 табл. 3 (кандидат 6)</t>
  </si>
  <si>
    <t>Источник обнаружения: ЛР4 табл. 3 (кандидат 7); Вордстат «staruml» (16)</t>
  </si>
  <si>
    <t>Источник обнаружения: ЛР4 табл. 3 (кандидат 8); ЛР1 табл. 42, 44</t>
  </si>
  <si>
    <t>Источник обнаружения: ЛР4 табл. 3 (кандидат 9); ЛР1 табл. 44</t>
  </si>
  <si>
    <t>Источник обнаружения: ЛР4 табл. 3 (кандидат 10); ЛР1 табл. 44 (частичный заменитель)</t>
  </si>
  <si>
    <t>Источник обнаружения: ЛР4 табл. 3 (кандидат 12); Similarweb Pro (Беларусь в топ-5 стран). Переходит в части B и C (одна из семи компаний анализа цифрового товара и бизнес-модели)</t>
  </si>
  <si>
    <t>Источник обнаружения: ЛР4 табл. 3 (кандидат 13); ЛР1 табл. 42 (главный по спросу заменитель); Вордстат «draw io» (1072). Переходит в части B и C (одна из семи компаний анализа цифрового товара и бизнес-модели)</t>
  </si>
  <si>
    <t>Источник обнаружения: ЛР4 табл. 3 (кандидат 14); ЛР1 табл. 42. Переходит в части B и C (одна из семи компаний анализа цифрового товара и бизнес-модели)</t>
  </si>
  <si>
    <t>Источник обнаружения: ЛР4 табл. 3 (кандидат 15); Capterra (ЛР2-3)</t>
  </si>
  <si>
    <t>Источник обнаружения: ЛР4 табл. 3 (кандидат 16); ЛР1 табл. 43 (вне границ рынка); Вордстат «miro» (1660)</t>
  </si>
  <si>
    <t>Источник обнаружения: ЛР4 табл. 3 (кандидат 17)</t>
  </si>
  <si>
    <t>Источник обнаружения: ЛР4 табл. 3 (кандидат 18)</t>
  </si>
  <si>
    <t>Источник обнаружения: ЛР4 табл. 3 (кандидат 19)</t>
  </si>
  <si>
    <t>Источник обнаружения: ЛР4 табл. 3 (кандидат 20); ЛР2-3 (тарифы, Product Hunt); Вордстат «eraser io» (2). Переходит в части B и C (одна из семи компаний анализа цифрового товара и бизнес-модели)</t>
  </si>
  <si>
    <t>Источник обнаружения: ЛР2-3 (заменители; тарифы; Capterra). Переходит в части B и C (одна из семи компаний анализа цифрового товара и бизнес-модели)</t>
  </si>
  <si>
    <t>Источник обнаружения: ЛР4 табл. 3 (кандидат 21); ЛР1 табл. 42, 44; Вордстат «visio» (1501)</t>
  </si>
  <si>
    <t>не собрано: ручной просмотр страницы и скриншот</t>
  </si>
  <si>
    <t>Какую проблему клиента компания обещает решить</t>
  </si>
  <si>
    <t>Формулировки на главной странице, страницы продукта, выгоды, результаты, случаи применения</t>
  </si>
  <si>
    <t>Для кого предназначен товар</t>
  </si>
  <si>
    <t>Сегменты, отрасли, роли пользователей, размер клиента, B2B/B2C/B2G</t>
  </si>
  <si>
    <t>Может ли товар заменить анализируемое решение</t>
  </si>
  <si>
    <t>Функции, модули, демонстрации, страницы возможностей, интеграции</t>
  </si>
  <si>
    <t>В каком процессе и в какой ситуации используется товар</t>
  </si>
  <si>
    <t>Путь пользователя, описания внедрения, варианты использования, инструкции</t>
  </si>
  <si>
    <t>Сопоставима ли экономическая логика покупки</t>
  </si>
  <si>
    <t>Тарифы, подписка, комиссия, пакет, бесплатный период, корпоративный расчет</t>
  </si>
  <si>
    <t>Как клиент приходит к покупке и получает доступ</t>
  </si>
  <si>
    <t>Сайт, приложение, маркетплейсы, партнеры, личные продажи, демонстрация, пробный доступ</t>
  </si>
  <si>
    <t>Работает ли компания на том же рынке в сопоставимых условиях</t>
  </si>
  <si>
    <t>Страны, языки, валюта, юридическая информация, требования отрасли</t>
  </si>
  <si>
    <t>Как компания получает выручку</t>
  </si>
  <si>
    <t>Тарифные планы, комиссия, freemium, лицензия, платные модули, реклама</t>
  </si>
  <si>
    <t>Способна ли компания реально конкурировать за выбор клиента</t>
  </si>
  <si>
    <t>Кейсы, клиенты, отзывы, сертификаты, партнеры, история, служба поддержки</t>
  </si>
  <si>
    <t>Насколько реалистично, что клиент заменит одно решение другим</t>
  </si>
  <si>
    <t>Миграция, импорт данных, интеграции, поддержка перехода, сравнения, обещания простого старта</t>
  </si>
  <si>
    <t>Вес можно изменять под отрасль. Итоговая оценка на листе 04 автоматически пересчитывается по измененным весам</t>
  </si>
  <si>
    <t>Уверенность: средняя. Similarweb Pro: 442 646 визитов в месяц (июнь-август 2026). Вордстат, Беларусь: 19 запр. в месяц. Цена: открытый код (MIT); платные планы у Mermaid Chart. Задача та же (диаграммы из текста и кода), нотаций UML/BPMN/IDEF как набора с проверкой правил в описании нет</t>
  </si>
  <si>
    <t>Уверенность: средняя. Similarweb Pro: 61 003 визитов в месяц (июнь-август 2026). Вордстат, Беларусь: 0 запр. в месяц. Описание на главной отсутствует (meta description пуста); отнесение по ЛР4 (язык диаграмм D2)</t>
  </si>
  <si>
    <t>Уверенность: средняя. Similarweb Pro: 33 398 визитов в месяц (июнь-август 2026). Вордстат, Беларусь: 12 запр. в месяц. Отрисовка через API без самостоятельного редактора; NotaCode планирует Kroki как альтернативный движок (документация проекта)</t>
  </si>
  <si>
    <t>Уверенность: средняя. Similarweb Pro: 339 451 визитов в месяц (июнь-август 2026). Вордстат, Беларусь: 9 запр. в месяц. Цена: заголовок страницы: Free &amp; Fast. В заголовке заявлены бесплатность и онлайн-доступ; редактор поверх PlantUML</t>
  </si>
  <si>
    <t>Уверенность: средняя. Similarweb Pro: 107 631 визитов в месяц (июнь-август 2026). Вордстат, Беларусь: 16 запр. в месяц. Графический моделер UML; страница тарифов в HTML упомянута 2 раза, цены не получены</t>
  </si>
  <si>
    <t>Уверенность: средняя. Similarweb Pro: 1 516 000 визитов в месяц (июнь-август 2026). Вордстат, Беларусь: 46 запр. в месяц. Тарифы: Подписка: Modeler 6, Standard 19, Professional 35, Enterprise 89 у.е. в месяц. Широкий набор нотаций и ИИ; графический ввод, ценовой уровень выше NotaCode</t>
  </si>
  <si>
    <t>Уверенность: низкая. Similarweb Pro: 149 507 визитов в месяц (июнь-август 2026). Вордстат, Беларусь: 9 запр. в месяц. Главная страница вернула HTTP 403 автоматическому запросу; отнесение по ЛР1 (табл. 44)</t>
  </si>
  <si>
    <t>Уверенность: средняя. Similarweb Pro: 199 080 визитов в месяц (июнь-август 2026). Вордстат, Беларусь: 37 запр. в месяц. Только BPMN-семейство; в NotaCode BPMN относится ко второй волне нотаций</t>
  </si>
  <si>
    <t>Уверенность: средняя. Вордстат, Беларусь: 17 запр. в месяц. Классифицируется Modeler, а не вся компания; главная страница описывает платформу оркестрации</t>
  </si>
  <si>
    <t>Уверенность: средняя. Similarweb Pro: 92 936 визитов в месяц (июнь-август 2026). Вордстат, Беларусь: 2 запр. в месяц. Русскоязычная платформа; BPMN-редактор входит в состав платформы процессного управления</t>
  </si>
  <si>
    <t>Уверенность: средняя. Similarweb Pro: 8 497 000 визитов в месяц (июнь-август 2026). Вордстат, Беларусь: 1072 запр. в месяц. Цена: полностью бесплатный, открытый код (Apache 2.0) (ЛР1, табл. 42). Универсальный графический редактор; бесплатный, открытый код, заявлено более 100 млн пользователей</t>
  </si>
  <si>
    <t>Уверенность: средняя. Similarweb Pro: 703 574 визитов в месяц (июнь-август 2026). Вордстат, Беларусь: 24 запр. в месяц. Тарифы: Free (3 редактируемых документа, 75 фигур на документ). Главная страница вернула HTTP 403; описание продукта не получено, оценка по ЛР1, ЛР2-3, G2, Capterra</t>
  </si>
  <si>
    <t>Уверенность: средняя. Similarweb Pro: 784 067 визитов в месяц (июнь-август 2026). Вордстат, Беларусь: 4 запр. в месяц. Тарифы: Платные тарифы от 5 до 89 у.е. в месяц (ЛР2-3, табл. 70: 15,14 - 269,54 BYN). Универсальный редактор; отзывы на Trustpilot низкие (1,9 из 5 при 58 отзывах)</t>
  </si>
  <si>
    <t>Уверенность: средняя. Similarweb Pro: 27 510 000 визитов в месяц (июнь-август 2026). Вордстат, Беларусь: 1660 запр. в месяц. Тарифы: Free (3 редактируемые доски). Доска для совместной работы; в продуктовые границы ЛР1 как самостоятельный рынок не входит</t>
  </si>
  <si>
    <t>Уверенность: средняя. Similarweb Pro: 4 253 000 визитов в месяц (июнь-август 2026). Вордстат, Беларусь: 70 запр. в месяц. Наброски вместо нотационных диаграмм; репозиторий с 133 301 звездой</t>
  </si>
  <si>
    <t>Уверенность: средняя. Similarweb Pro: 655 207 визитов в месяц (июнь-август 2026). Вордстат, Беларусь: 2 запр. в месяц. Цена: описание: free tool; платный тариф около 8 у.е. (ЛР2-3). Одна нотация (ERD) с вводом текстом; ERD входит в первую волну нотаций NotaCode</t>
  </si>
  <si>
    <t>Уверенность: средняя. Similarweb Pro: 123 677 визитов в месяц (июнь-август 2026). Вордстат, Беларусь: 2 запр. в месяц. Одна нотация (ERD); данные по каналам и географии в Similarweb недоступны</t>
  </si>
  <si>
    <t>Уверенность: средняя. Вордстат, Беларусь: 2 запр. в месяц. Тарифы: Free (0 у.е.. ИИ-режим сопоставим с режимами ИИ-ассистента NotaCode; раздел обзора Similarweb данных не показал</t>
  </si>
  <si>
    <t>Уверенность: средняя. Вордстат, Беларусь: 59 запр. в месяц. Тарифы: Free (0 у.е.. Главная страница и тарифы просмотрены 01.10.2026: диаграммы и схемы интерфейсов для команд продуктов, формальных нотаций UML и BPMN как набора нет; Similarweb не собирался; запрос «whimsical» в Вордстате - омоним</t>
  </si>
  <si>
    <t>Уверенность: низкая. Вордстат, Беларусь: 1501 запр. в месяц. Тарифы: Plan 1 - 5 у.е., Plan 2 - 15 у.е. за пользователя в месяц при оплате за год. Домен-раздел без отдельного трафика (ЛР4); использованы тарифы ЛР1 и частота запроса «visio» (1501)</t>
  </si>
  <si>
    <t>Компания удовлетворяет ту же потребительскую задачу для той же или близкой аудитории сопоставимым цифровым товаром</t>
  </si>
  <si>
    <t>Высокая заменяемость товара и совпадение целевого сегмента</t>
  </si>
  <si>
    <t>Потребительская задача ≥ 3; функциональная заменяемость ≥ 3</t>
  </si>
  <si>
    <t>Сходные тарифы, сценарии использования, обещания результата, демонстрации товара, одинаковые категории клиентов</t>
  </si>
  <si>
    <t>Включить в постоянный конкурентный мониторинг</t>
  </si>
  <si>
    <t>Компания решает ту же или близкую задачу, но делает это через иной формат товара, канал, сегмент или модель оплаты</t>
  </si>
  <si>
    <t>Клиент может рассматривать решение как практическую альтернативу</t>
  </si>
  <si>
    <t>Нет критического расхождения по потребительской задаче</t>
  </si>
  <si>
    <t>Похожие выгоды, частично отличающаяся функциональность, иной формат доступа, другая тарифная логика</t>
  </si>
  <si>
    <t>Сравнивать по ценностному предложению и причинам выбора</t>
  </si>
  <si>
    <t>Компания закрывает ту же потребность и может заменить покупку, но товарная категория или способ решения заметно отличаются</t>
  </si>
  <si>
    <t>Есть конкуренция за бюджет, внимание или способ выполнения задачи</t>
  </si>
  <si>
    <t>Достаточно доказательств заменяемости</t>
  </si>
  <si>
    <t>Иные продукты, услуги или платформы, которые дают сходный конечный результат</t>
  </si>
  <si>
    <t>Анализировать как угрозу замещения</t>
  </si>
  <si>
    <t>Компания пока не является прямым конкурентом, но имеет близкую аудиторию, смежный товар, инфраструктуру или возможность расшириться в рассматриваемый рынок</t>
  </si>
  <si>
    <t>Вероятность входа в рынок или расширения товарной линейки</t>
  </si>
  <si>
    <t>Наличие хотя бы одного сильного сигнала пересечения</t>
  </si>
  <si>
    <t>Смежные разделы сайта, близкие категории клиентов, партнерства, вакансии, дорожная карта, упоминания планов развития</t>
  </si>
  <si>
    <t>Наблюдать периодически; не смешивать с прямыми конкурентами</t>
  </si>
  <si>
    <t>Компания не показывает значимого пересечения по задаче, аудитории, товару и заменяемости</t>
  </si>
  <si>
    <t>Недостаточная рыночная и товарная близость</t>
  </si>
  <si>
    <t>Нет значимых доказательств конкуренции</t>
  </si>
  <si>
    <t>Общее сходство отрасли без совпадения задачи и товара</t>
  </si>
  <si>
    <t>Исключить из основной матрицы, оставить только при методической необходимости</t>
  </si>
  <si>
    <t>По сайту невозможно надежно установить уровень конкуренции</t>
  </si>
  <si>
    <t>Недостаток фактов или противоречивые сигналы</t>
  </si>
  <si>
    <t>Менее трех содержательных доказательств</t>
  </si>
  <si>
    <t>Закрытые тарифы, неполные описания, отсутствие страниц товара, нет сегментации клиентов</t>
  </si>
  <si>
    <t>Вернуться к анализу после сбора дополнительных источников</t>
  </si>
  <si>
    <t>Лист 01_Компании, столбец I (Приоритет): проверка данных ссылалась на список уровней конкуренции ('08_Справочники'!A2:A7). Заменена на список приоритетов ('08_Справочники'!C2:C4)</t>
  </si>
  <si>
    <t>Лист 02_Доказательства, столбец G (Сила сигнала 1-5): проверка данных ссылалась на список блоков критериев. Заменена на целые числа от 1 до 5</t>
  </si>
  <si>
    <t>Лист 04_Оценка, столбец S (Статус решения): проверка данных ссылалась на список уровней. Заменена на список статусов ('08_Справочники'!B2:B6)</t>
  </si>
  <si>
    <t>Лист 06_Сводка, B19:F28 (топ-10): при равных баллах MATCH возвращал первое совпадение, и одна компания повторялась в нескольких строках. Формулы заменены вариантом с AGGREGATE и COUNTIF (n-е совпадение); логика (LARGE по взвешенному баллу) сохранена</t>
  </si>
  <si>
    <t>Формулы XLOOKUP (листы 02_Доказательства, 04_Оценка, 07_Карта) записаны в файле шаблона без префикса _xlfn, Excel читал их как неизвестную функцию и название компании не подтягивалось. Формулы введены повторно (текст не менялся), название и сайт подтягиваются</t>
  </si>
  <si>
    <t>Листы 04_Оценка (B, C) и 07_Карта (B, J, K): для ID без компании XLOOKUP возвращал пустую ячейку как 0, и в 78 строках показывались нули; добавлена проверка на пустое значение. Лист 07_Карта, столбец G: для строк со статусом «Недостаточно данных» или без X/Y зона не определялась корректно (текст сравнивался как больше числа); добавлено значение «Нет данных»</t>
  </si>
  <si>
    <t>C1-C4 назначены аналитиком по тексту главной страницы и описанию продукта: 5 - главная страница заявляет ту же задачу (диаграммы из текста или кода); 4 - нотационный моделер или ИИ-генерация диаграмм; 3 - универсальный редактор или одна нотация; 2 - доска или платформа с редактором как модулем</t>
  </si>
  <si>
    <t>C5: 4 - бесплатный продукт или входной платный тариф не выше 6 у.е. в месяц; 3 - 7-12 у.е.; 2 - 13-30 у.е.; 1 - свыше 30 у.е. (NotaCode Pro - 4 у.е. в месяц при оплате за год - 40 у.е.). Данные: ЛР1 табл. 42, ЛР2-3 табл. 70</t>
  </si>
  <si>
    <t>C7: 5 - русскоязычный сервис с долей Беларуси в топ-5 стран; 4 - Россия или Беларусь среди топ-5 стран Similarweb либо бренд не менее 100 запросов в месяц в РБ; 3 - 10-99 запросов; 2 - менее 10 запросов; пусто - данных нет или омоним</t>
  </si>
  <si>
    <t>C10 = 3 для инструментов, форматы которых NotaCode планирует импортировать (PlantUML, Mermaid, D2, draw.io, BPMN XML; документация проекта, концепция, разделы 2 и 5); для остальных пусто</t>
  </si>
  <si>
    <t>Сила сигнала в 02_Доказательства: 5 - страница тарифов; 4 - метаданные главной страницы; 3 - Similarweb, отзывы, GitHub, Вордстат; 2 - возраст домена, признаки в HTML, план совместимости; 1 - страница недоступна. Достоверность: 5 - программный интерфейс; 4 - официальная страница или Вордстат; 3 - оценочная модель или отзывы; 2 - ручной просмотр не выполнен</t>
  </si>
  <si>
    <t>не собрано</t>
  </si>
  <si>
    <t>не собрано: ручной просмотр главных страниц lucidchart.com, sparxsystems.com (ответ HTTP 403) и whimsical.com (страница не собиралась): описание продукта, аудитория, тарифы, скриншоты</t>
  </si>
  <si>
    <t>не собрано: Similarweb Pro для whimsical.com, microsoft.com/visio (домен-раздел), eraser.io (обзор данных не показал), каналы и география drawsql.app</t>
  </si>
  <si>
    <t>не собрано: страницы тарифов staruml.io, d2lang.com, kroki.io, bpmn.io, camunda.com, stormbpmn.com, sparxsystems.com, drawsql.app: цены и бесплатный уровень</t>
  </si>
  <si>
    <t>не собрано: доля Беларуси в трафике (платный доступ Similarweb): сейчас доступна только stormbpmn.com (2,49 %)</t>
  </si>
  <si>
    <t>не собрано: оценка C10 (вероятность переключения): страницы импорта и миграции у конкурентов</t>
  </si>
  <si>
    <t>не собрано: рекламные объявления (Google Ads Transparency Center, LinkedIn Ad Library) и выдача Яндекса по запросам ядра: не проверялись (доступ закрыт, капча)</t>
  </si>
  <si>
    <t>Источник обнаружения: ЛР4 табл. 3 (кандидат 11, не прошел как домен); ЛР1 табл. 44; Вордстат «camunda modeler» (17)</t>
  </si>
  <si>
    <t>plantuml/plantuml: 13 346 звезд, 1 238 форков, лицензия LGPL-3.0, последнее обновление 2026-09-30</t>
  </si>
  <si>
    <t>Косвенный признак (автоматический подсчет, не просмотр страницы человеком)</t>
  </si>
  <si>
    <t>mermaid-js/mermaid: 90 489 звезд, 9 317 форков, лицензия MIT, последнее обновление 2026-09-30; mermaid-js/mermaid-live-editor: 6 836 звезд, 1 175 форков, лицензия MIT, последнее обновление 2026-09-30</t>
  </si>
  <si>
    <t>Платная надстройка над Mermaid; домен, вероятно, перенесен на mermaid.ai (трафик mermaidchart.com -82,22 %)</t>
  </si>
  <si>
    <t>terrastruct/d2: 25 544 звезд, 756 форков, лицензия MPL-2.0, последнее обновление 2026-09-20</t>
  </si>
  <si>
    <t>yuzutech/kroki: 4 351 звезд, 319 форков, лицензия MIT, последнее обновление 2026-09-28</t>
  </si>
  <si>
    <t>bpmn-io/bpmn-js: 9 675 звезд, 1 489 форков, лицензия NOASSERTION, последнее обновление 2026-09-25</t>
  </si>
  <si>
    <t>camunda/camunda-modeler: 1 718 звезд, 544 форков, лицензия MIT, последнее обновление 2026-09-30</t>
  </si>
  <si>
    <t>jgraph/drawio: 8 502 звезд, 1 275 форков, лицензия Apache-2.0, последнее обновление 2026-09-25; jgraph/drawio-desktop: 63 351 звезд, 5 782 форков, лицензия GPL-3.0, последнее обновление 2026-09-28</t>
  </si>
  <si>
    <t>excalidraw/excalidraw: 133 301 звезд, 15 530 форков, лицензия MIT, последнее обновление 2026-09-30</t>
  </si>
  <si>
    <t>holistics/dbml: 3 708 звезд, 234 форков, лицензия Apache-2.0, последнее обновление 2026-09-23</t>
  </si>
  <si>
    <t>Экспертная корректировка: Расчетный балл 4,10 лишь на 0,10 ниже порога 4,20; по правилу методики (индекс 65-79 и постоянное присутствие в тех же запросах) допускается повышение до прямого. Подтверждения: (1) запрос «plantuml» - 200 запросов в месяц в Беларуси (Вордстат, 29.08-27.09.2026), максимум среди брендов текстовых DSL; (2) страница товара и описание совпадают с задачей NotaCode (title/description 30.09.2026); (3) ЛР1 табл. 44 относит PlantUML к прямым конкурентам; (4) плагины IDE: 3 712 111 установок VS Marketplace и 5 014 362 загрузки JetBrains (ЛР2-3). Уверенность: средняя. Similarweb Pro: 739 657 визитов в месяц (июнь-август 2026). Вордстат, Беларусь: 200 запр. в месяц. Цена: открытый код, бесплатно (ЛР1, табл. 42). Главное обещание совпадает с задачей NotaCode: диаграммы UML из текста</t>
  </si>
  <si>
    <t>Уверенность: средняя. Similarweb Pro: 2 535 визитов в месяц (июнь-август 2026). Вордстат, Беларусь: 0 запр. в месяц. Тарифы: Free (до 6 диаграмм, 15 AI-кредитов). Платная надстройка над Mermaid; домен, вероятно, перенесен на mermaid.ai (трафик mermaidchart.com -82,22 %)</t>
  </si>
  <si>
    <t>Лист 04_Оценка, столбец N (Взвешенный балл): SUMPRODUCT получал строку D:M (1x10) и столбец весов E4:E13 (10x1), размеры не совпадают, результат во всех строках - #ЗНАЧ!. Формула заменена явной суммой произведений баллов на веса, деленной на сумму весов (математика методики: SUMPRODUCT(C1...C10; веса) / SUM(весов))</t>
  </si>
  <si>
    <t>Формулы листов 04_Оценка (N, O, P, R) и 07_Карта (X, Y, зона) сверены с правилами методики (ЗАДАНИЕ, п. 5.4) и расчетом на Python (Python/02_verify.py); расхождений нет, формулы не менялись</t>
  </si>
  <si>
    <t>Использована шкала Excel-шаблона: 10 критериев C1-C10, баллы 0-5, веса в сумме 100, 5 уровней и значение «Недостаточно данных». Шкала методики (8 критериев, 0-4, индекс 0-100, 7 уровней) для расчета не применялась; определения уровней и правила корректировки взяты из методики</t>
  </si>
  <si>
    <t>Пустая ячейка критерия в формуле шаблона равна 0 (в числитель не входит, в знаменатель входит вес). Критерий оставлен пустым, если данных нет; при заполнении менее шести критериев ограничитель дает «Недостаточно данных»</t>
  </si>
  <si>
    <t>C6 = 1 + (органический поиск не менее 40 %) + (репозиторий GitHub не менее 1 000 звезд или карточка в каталоге расширений IDE) + (бренд не менее 10 запросов в месяц в Вордстате, РБ, без омонимии) + (реферальный трафик не менее 10 % или социальный не менее 5 %); максимум 5</t>
  </si>
  <si>
    <t>C8: 5 - бесплатный уровень и платная подписка (как у NotaCode); 4 - платная подписка без подтвержденного бесплатного уровня; 3 - подписка и бессрочные лицензии; 1 - бесплатный продукт без прямой монетизации</t>
  </si>
  <si>
    <t>C9 = 1 + (возраст не менее 5 лет) + (возраст не менее 12 лет) + (не менее 30 независимых отзывов или оценок) + (не менее 500 тыс. визитов в месяц или 10 тыс. звезд GitHub); максимум 5. Возраст - по RDAP (верхняя оценка возраста бренда)</t>
  </si>
  <si>
    <t>Уверенность: средняя - заполнено не менее 6 критериев и есть описание главной страницы; низкая - главная страница недоступна или критериев меньше шести. Высокая не присваивалась: нет ручной проверки по трем независимым подтверждениям на страницах товара и тарифов</t>
  </si>
  <si>
    <t>не собрано: ручная проверка не менее трех подтверждений (страница товара, тарифы, аудитория, пересечение каналов, обещание результата) для компаний уровня «Прямой» и «Близкий»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</si>
</sst>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000000"/>
      <name val="Carlito"/>
    </font>
    <font>
      <b/>
      <sz val="10"/>
      <color rgb="FFFFFFFF"/>
      <name val="Calibri"/>
      <family val="2"/>
    </font>
    <font>
      <sz val="10"/>
      <name val="Calibri"/>
      <family val="2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7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2E7D7A"/>
      </patternFill>
    </fill>
    <fill>
      <patternFill patternType="solid">
        <fgColor rgb="FFFFF2CC"/>
      </patternFill>
    </fill>
    <fill>
      <patternFill patternType="solid">
        <fgColor rgb="FFD8EAF0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7" fillId="0" borderId="0" xfId="0" applyFont="1"/>
    <xf numFmtId="0" fontId="0" fillId="0" borderId="0" xfId="1" applyFont="1" applyAlignment="1">
      <alignment vertical="top" wrapText="1"/>
    </xf>
    <xf numFmtId="2" fontId="0" fillId="0" borderId="0" xfId="1" applyNumberFormat="1" applyFont="1" applyAlignment="1">
      <alignment vertical="top" wrapText="1"/>
    </xf>
    <xf numFmtId="49" fontId="0" fillId="0" borderId="0" xfId="1" applyNumberFormat="1" applyFont="1" applyAlignment="1">
      <alignment vertical="top" wrapText="1"/>
    </xf>
    <xf numFmtId="0" fontId="5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1" applyFont="1" applyFill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1" fontId="0" fillId="0" borderId="0" xfId="1" applyNumberFormat="1" applyFont="1" applyAlignment="1">
      <alignment vertical="top" wrapText="1"/>
    </xf>
    <xf numFmtId="0" fontId="2" fillId="4" borderId="0" xfId="1" applyFont="1" applyFill="1" applyAlignment="1">
      <alignment vertical="top" wrapText="1"/>
    </xf>
    <xf numFmtId="9" fontId="0" fillId="0" borderId="0" xfId="1" applyNumberFormat="1" applyFont="1" applyAlignment="1">
      <alignment vertical="top" wrapText="1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0" fillId="0" borderId="0" xfId="1" applyFont="1" applyAlignment="1">
      <alignment vertical="center" wrapText="1"/>
    </xf>
    <xf numFmtId="2" fontId="0" fillId="0" borderId="0" xfId="1" applyNumberFormat="1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2" borderId="0" xfId="1" applyFont="1" applyFill="1" applyAlignment="1">
      <alignment horizontal="center" vertical="top" wrapText="1"/>
    </xf>
    <xf numFmtId="0" fontId="5" fillId="0" borderId="0" xfId="1" applyFont="1" applyAlignment="1">
      <alignment vertical="top" wrapText="1"/>
    </xf>
    <xf numFmtId="0" fontId="3" fillId="5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4" fillId="3" borderId="0" xfId="1" applyFont="1" applyFill="1" applyAlignment="1">
      <alignment horizontal="center" vertical="top" wrapText="1"/>
    </xf>
  </cellXfs>
  <cellStyles count="2">
    <cellStyle name="Normal" xfId="1" xr:uid="{00000000-0005-0000-0000-000000000000}"/>
    <cellStyle name="Обычный" xfId="0" builtinId="0"/>
  </cellStyles>
  <dxfs count="102">
    <dxf>
      <fill>
        <patternFill patternType="solid">
          <bgColor rgb="FFFFF2CC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AF4F3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Распределение компаний по уровням конкуренции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'06_Сводка'!$A$11:$A$16</c:f>
              <c:strCache>
                <c:ptCount val="6"/>
                <c:pt idx="0">
                  <c:v>Прямой конкурент</c:v>
                </c:pt>
                <c:pt idx="1">
                  <c:v>Близкий альтернативный конкурент</c:v>
                </c:pt>
                <c:pt idx="2">
                  <c:v>Косвенный конкурент / заменитель</c:v>
                </c:pt>
                <c:pt idx="3">
                  <c:v>Смежная или потенциальная конкуренция</c:v>
                </c:pt>
                <c:pt idx="4">
                  <c:v>Не конкурент / объект наблюдения</c:v>
                </c:pt>
                <c:pt idx="5">
                  <c:v>Недостаточно данных</c:v>
                </c:pt>
              </c:strCache>
            </c:strRef>
          </c:cat>
          <c:val>
            <c:numRef>
              <c:f>'06_Сводка'!$B$11:$B$16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A-4710-A333-C0F6944AC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Карта: функциональная близость и аудиторное пересечение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Y: аудитория + рынок</c:v>
          </c:tx>
          <c:xVal>
            <c:numLit>
              <c:ptCount val="0"/>
            </c:numLit>
          </c:xVal>
          <c:yVal>
            <c:numRef>
              <c:f>'07_Карта'!$D$4:$D$25</c:f>
              <c:numCache>
                <c:formatCode>0.00</c:formatCode>
                <c:ptCount val="22"/>
                <c:pt idx="0">
                  <c:v>4</c:v>
                </c:pt>
                <c:pt idx="1">
                  <c:v>3.5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</c:v>
                </c:pt>
                <c:pt idx="9">
                  <c:v>3.5</c:v>
                </c:pt>
                <c:pt idx="10">
                  <c:v>2.5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2.5</c:v>
                </c:pt>
                <c:pt idx="15">
                  <c:v>3</c:v>
                </c:pt>
                <c:pt idx="16">
                  <c:v>3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3</c:v>
                </c:pt>
                <c:pt idx="21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99-4049-AD7A-D229C2F94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;;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394606</xdr:colOff>
      <xdr:row>5</xdr:row>
      <xdr:rowOff>136071</xdr:rowOff>
    </xdr:from>
    <xdr:to>
      <xdr:col>48</xdr:col>
      <xdr:colOff>149679</xdr:colOff>
      <xdr:row>23</xdr:row>
      <xdr:rowOff>136071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mpaniesTable" displayName="CompaniesTable" ref="A3:M25" headerRowDxfId="101" dataDxfId="100" totalsRowDxfId="99">
  <tableColumns count="13">
    <tableColumn id="1" xr3:uid="{00000000-0010-0000-0000-000001000000}" name="ID" dataDxfId="98"/>
    <tableColumn id="2" xr3:uid="{00000000-0010-0000-0000-000002000000}" name="Компания" dataDxfId="97"/>
    <tableColumn id="3" xr3:uid="{00000000-0010-0000-0000-000003000000}" name="Сайт" dataDxfId="96"/>
    <tableColumn id="4" xr3:uid="{00000000-0010-0000-0000-000004000000}" name="Рынок / страна" dataDxfId="95"/>
    <tableColumn id="5" xr3:uid="{00000000-0010-0000-0000-000005000000}" name="Тип компании" dataDxfId="94"/>
    <tableColumn id="6" xr3:uid="{00000000-0010-0000-0000-000006000000}" name="Основной цифровой товар" dataDxfId="93"/>
    <tableColumn id="7" xr3:uid="{00000000-0010-0000-0000-000007000000}" name="Целевой сегмент" dataDxfId="92"/>
    <tableColumn id="8" xr3:uid="{00000000-0010-0000-0000-000008000000}" name="Предварительная гипотеза" dataDxfId="91"/>
    <tableColumn id="9" xr3:uid="{00000000-0010-0000-0000-000009000000}" name="Приоритет" dataDxfId="90"/>
    <tableColumn id="10" xr3:uid="{00000000-0010-0000-0000-00000A000000}" name="Ответственный" dataDxfId="89"/>
    <tableColumn id="11" xr3:uid="{00000000-0010-0000-0000-00000B000000}" name="Статус" dataDxfId="88"/>
    <tableColumn id="12" xr3:uid="{00000000-0010-0000-0000-00000C000000}" name="Дата обновления" dataDxfId="87"/>
    <tableColumn id="13" xr3:uid="{00000000-0010-0000-0000-00000D000000}" name="Комментарий" dataDxfId="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EvidenceTable" displayName="EvidenceTable" ref="A3:L180" headerRowDxfId="85" dataDxfId="84" totalsRowDxfId="83">
  <tableColumns count="12">
    <tableColumn id="1" xr3:uid="{00000000-0010-0000-0100-000001000000}" name="ID компании" dataDxfId="82"/>
    <tableColumn id="2" xr3:uid="{00000000-0010-0000-0100-000002000000}" name="Компания" dataDxfId="81"/>
    <tableColumn id="3" xr3:uid="{00000000-0010-0000-0100-000003000000}" name="Раздел сайта" dataDxfId="80"/>
    <tableColumn id="4" xr3:uid="{00000000-0010-0000-0100-000004000000}" name="URL" dataDxfId="79"/>
    <tableColumn id="5" xr3:uid="{00000000-0010-0000-0100-000005000000}" name="Наблюдаемый факт" dataDxfId="78"/>
    <tableColumn id="6" xr3:uid="{00000000-0010-0000-0100-000006000000}" name="Тип сигнала" dataDxfId="77"/>
    <tableColumn id="7" xr3:uid="{00000000-0010-0000-0100-000007000000}" name="Сила сигнала 1–5" dataDxfId="76"/>
    <tableColumn id="8" xr3:uid="{00000000-0010-0000-0100-000008000000}" name="Дата фиксации" dataDxfId="75"/>
    <tableColumn id="9" xr3:uid="{00000000-0010-0000-0100-000009000000}" name="Вывод для классификации" dataDxfId="74"/>
    <tableColumn id="10" xr3:uid="{00000000-0010-0000-0100-00000A000000}" name="Достоверность 1–5" dataDxfId="73"/>
    <tableColumn id="11" xr3:uid="{00000000-0010-0000-0100-00000B000000}" name="Скриншот / архив" dataDxfId="72"/>
    <tableColumn id="12" xr3:uid="{00000000-0010-0000-0100-00000C000000}" name="Комментарий" dataDxfId="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CompetitionCriteria" displayName="CompetitionCriteria" ref="A3:J13" headerRowDxfId="70" dataDxfId="69" totalsRowDxfId="68">
  <tableColumns count="10">
    <tableColumn id="1" xr3:uid="{00000000-0010-0000-0200-000001000000}" name="Код" dataDxfId="67"/>
    <tableColumn id="2" xr3:uid="{00000000-0010-0000-0200-000002000000}" name="Критерий" dataDxfId="66"/>
    <tableColumn id="3" xr3:uid="{00000000-0010-0000-0200-000003000000}" name="Что проверяется по сайту" dataDxfId="65"/>
    <tableColumn id="4" xr3:uid="{00000000-0010-0000-0200-000004000000}" name="Индикаторы" dataDxfId="64"/>
    <tableColumn id="5" xr3:uid="{00000000-0010-0000-0200-000005000000}" name="Вес" dataDxfId="63"/>
    <tableColumn id="6" xr3:uid="{00000000-0010-0000-0200-000006000000}" name="0 баллов" dataDxfId="62"/>
    <tableColumn id="7" xr3:uid="{00000000-0010-0000-0200-000007000000}" name="1 балл" dataDxfId="61"/>
    <tableColumn id="8" xr3:uid="{00000000-0010-0000-0200-000008000000}" name="3 балла" dataDxfId="60"/>
    <tableColumn id="9" xr3:uid="{00000000-0010-0000-0200-000009000000}" name="5 баллов" dataDxfId="59"/>
    <tableColumn id="10" xr3:uid="{00000000-0010-0000-0200-00000A000000}" name="Обязателен для прямого конкурента" dataDxfId="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ScoringMatrix" displayName="ScoringMatrix" ref="A3:V25" headerRowDxfId="57" dataDxfId="56" totalsRowDxfId="55">
  <tableColumns count="22">
    <tableColumn id="1" xr3:uid="{00000000-0010-0000-0300-000001000000}" name="ID" dataDxfId="54"/>
    <tableColumn id="2" xr3:uid="{00000000-0010-0000-0300-000002000000}" name="Компания" dataDxfId="53"/>
    <tableColumn id="3" xr3:uid="{00000000-0010-0000-0300-000003000000}" name="Сайт" dataDxfId="52"/>
    <tableColumn id="4" xr3:uid="{00000000-0010-0000-0300-000004000000}" name="C1 задача" dataDxfId="51"/>
    <tableColumn id="5" xr3:uid="{00000000-0010-0000-0300-000005000000}" name="C2 аудитория" dataDxfId="50"/>
    <tableColumn id="6" xr3:uid="{00000000-0010-0000-0300-000006000000}" name="C3 заменяемость" dataDxfId="49"/>
    <tableColumn id="7" xr3:uid="{00000000-0010-0000-0300-000007000000}" name="C4 сценарий" dataDxfId="48"/>
    <tableColumn id="8" xr3:uid="{00000000-0010-0000-0300-000008000000}" name="C5 цена" dataDxfId="47"/>
    <tableColumn id="9" xr3:uid="{00000000-0010-0000-0300-000009000000}" name="C6 каналы" dataDxfId="46"/>
    <tableColumn id="10" xr3:uid="{00000000-0010-0000-0300-00000A000000}" name="C7 география" dataDxfId="45"/>
    <tableColumn id="11" xr3:uid="{00000000-0010-0000-0300-00000B000000}" name="C8 монетизация" dataDxfId="44"/>
    <tableColumn id="12" xr3:uid="{00000000-0010-0000-0300-00000C000000}" name="C9 зрелость" dataDxfId="43"/>
    <tableColumn id="13" xr3:uid="{00000000-0010-0000-0300-00000D000000}" name="C10 переключение" dataDxfId="42"/>
    <tableColumn id="14" xr3:uid="{00000000-0010-0000-0300-00000E000000}" name="Взвешенный балл" dataDxfId="41"/>
    <tableColumn id="15" xr3:uid="{00000000-0010-0000-0300-00000F000000}" name="Ограничитель" dataDxfId="40"/>
    <tableColumn id="16" xr3:uid="{00000000-0010-0000-0300-000010000000}" name="Расчетный уровень" dataDxfId="39"/>
    <tableColumn id="17" xr3:uid="{00000000-0010-0000-0300-000011000000}" name="Экспертная корректировка" dataDxfId="38"/>
    <tableColumn id="18" xr3:uid="{00000000-0010-0000-0300-000012000000}" name="Итоговый уровень" dataDxfId="37"/>
    <tableColumn id="19" xr3:uid="{00000000-0010-0000-0300-000013000000}" name="Статус решения" dataDxfId="36"/>
    <tableColumn id="20" xr3:uid="{00000000-0010-0000-0300-000014000000}" name="Ключевое обоснование" dataDxfId="35"/>
    <tableColumn id="21" xr3:uid="{00000000-0010-0000-0300-000015000000}" name="Ключевые ссылки" dataDxfId="34"/>
    <tableColumn id="22" xr3:uid="{00000000-0010-0000-0300-000016000000}" name="Дата проверки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CompetitionLevels" displayName="CompetitionLevels" ref="A3:G9" headerRowDxfId="32" dataDxfId="31" totalsRowDxfId="30">
  <tableColumns count="7">
    <tableColumn id="1" xr3:uid="{00000000-0010-0000-0400-000001000000}" name="Уровень" dataDxfId="29"/>
    <tableColumn id="2" xr3:uid="{00000000-0010-0000-0400-000002000000}" name="Определение" dataDxfId="28"/>
    <tableColumn id="3" xr3:uid="{00000000-0010-0000-0400-000003000000}" name="Ключевой критерий" dataDxfId="27"/>
    <tableColumn id="4" xr3:uid="{00000000-0010-0000-0400-000004000000}" name="Порог по баллу" dataDxfId="26"/>
    <tableColumn id="5" xr3:uid="{00000000-0010-0000-0400-000005000000}" name="Обязательные условия" dataDxfId="25"/>
    <tableColumn id="6" xr3:uid="{00000000-0010-0000-0400-000006000000}" name="Типовые признаки на сайте" dataDxfId="24"/>
    <tableColumn id="7" xr3:uid="{00000000-0010-0000-0400-000007000000}" name="Решение аналитика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mpetitionMap" displayName="CompetitionMap" ref="A3:K25" headerRowDxfId="22" dataDxfId="21" totalsRowDxfId="20">
  <tableColumns count="11">
    <tableColumn id="1" xr3:uid="{00000000-0010-0000-0500-000001000000}" name="ID" dataDxfId="19"/>
    <tableColumn id="2" xr3:uid="{00000000-0010-0000-0500-000002000000}" name="Компания" dataDxfId="18"/>
    <tableColumn id="3" xr3:uid="{00000000-0010-0000-0500-000003000000}" name="X: задача + заменяемость" dataDxfId="17"/>
    <tableColumn id="4" xr3:uid="{00000000-0010-0000-0500-000004000000}" name="Y: аудитория + рынок" dataDxfId="16"/>
    <tableColumn id="5" xr3:uid="{00000000-0010-0000-0500-000005000000}" name="Взвешенный балл" dataDxfId="15"/>
    <tableColumn id="6" xr3:uid="{00000000-0010-0000-0500-000006000000}" name="Итоговый уровень" dataDxfId="14"/>
    <tableColumn id="7" xr3:uid="{00000000-0010-0000-0500-000007000000}" name="Зона карты" dataDxfId="13"/>
    <tableColumn id="8" xr3:uid="{00000000-0010-0000-0500-000008000000}" name="Комментарий" dataDxfId="12"/>
    <tableColumn id="9" xr3:uid="{00000000-0010-0000-0500-000009000000}" name="Доказательства" dataDxfId="11"/>
    <tableColumn id="10" xr3:uid="{00000000-0010-0000-0500-00000A000000}" name="Приоритет" dataDxfId="10"/>
    <tableColumn id="11" xr3:uid="{00000000-0010-0000-0500-00000B000000}" name="Статус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topLeftCell="E1" zoomScale="85" zoomScaleNormal="85" workbookViewId="0">
      <selection activeCell="H27" sqref="H27"/>
    </sheetView>
  </sheetViews>
  <sheetFormatPr defaultRowHeight="14.25"/>
  <cols>
    <col min="1" max="8" width="55.625" customWidth="1"/>
    <col min="9" max="26" width="9.625" customWidth="1"/>
  </cols>
  <sheetData>
    <row r="1" spans="1:26" ht="15" customHeight="1">
      <c r="A1" s="20" t="s">
        <v>0</v>
      </c>
      <c r="B1" s="21" t="s">
        <v>0</v>
      </c>
      <c r="C1" s="21" t="s">
        <v>0</v>
      </c>
      <c r="D1" s="21" t="s">
        <v>0</v>
      </c>
      <c r="E1" s="21" t="s">
        <v>0</v>
      </c>
      <c r="F1" s="21" t="s">
        <v>0</v>
      </c>
      <c r="G1" s="21" t="s">
        <v>0</v>
      </c>
      <c r="H1" s="21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42.75">
      <c r="A4" s="2" t="s">
        <v>9</v>
      </c>
      <c r="B4" s="2" t="s">
        <v>735</v>
      </c>
      <c r="C4" s="2" t="s">
        <v>10</v>
      </c>
      <c r="D4" s="2" t="s">
        <v>11</v>
      </c>
      <c r="E4" s="2" t="s">
        <v>736</v>
      </c>
      <c r="F4" s="2" t="s">
        <v>737</v>
      </c>
      <c r="G4" s="2" t="s">
        <v>738</v>
      </c>
      <c r="H4" s="2" t="s">
        <v>739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.5">
      <c r="A5" s="2" t="s">
        <v>12</v>
      </c>
      <c r="B5" s="2" t="s">
        <v>740</v>
      </c>
      <c r="C5" s="2" t="s">
        <v>13</v>
      </c>
      <c r="D5" s="2" t="s">
        <v>14</v>
      </c>
      <c r="E5" s="2" t="s">
        <v>741</v>
      </c>
      <c r="F5" s="2" t="s">
        <v>742</v>
      </c>
      <c r="G5" s="2" t="s">
        <v>743</v>
      </c>
      <c r="H5" s="2" t="s">
        <v>744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2" t="s">
        <v>15</v>
      </c>
      <c r="B6" s="2" t="s">
        <v>745</v>
      </c>
      <c r="C6" s="2" t="s">
        <v>16</v>
      </c>
      <c r="D6" s="2" t="s">
        <v>17</v>
      </c>
      <c r="E6" s="2" t="s">
        <v>746</v>
      </c>
      <c r="F6" s="2" t="s">
        <v>747</v>
      </c>
      <c r="G6" s="2" t="s">
        <v>748</v>
      </c>
      <c r="H6" s="2" t="s">
        <v>749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8.5">
      <c r="A7" s="2" t="s">
        <v>18</v>
      </c>
      <c r="B7" s="2" t="s">
        <v>750</v>
      </c>
      <c r="C7" s="2" t="s">
        <v>16</v>
      </c>
      <c r="D7" s="2" t="s">
        <v>19</v>
      </c>
      <c r="E7" s="2" t="s">
        <v>751</v>
      </c>
      <c r="F7" s="2" t="s">
        <v>752</v>
      </c>
      <c r="G7" s="2" t="s">
        <v>753</v>
      </c>
      <c r="H7" s="2" t="s">
        <v>754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5">
      <c r="A8" s="2" t="s">
        <v>20</v>
      </c>
      <c r="B8" s="2" t="s">
        <v>755</v>
      </c>
      <c r="C8" s="2" t="s">
        <v>16</v>
      </c>
      <c r="D8" s="2" t="s">
        <v>21</v>
      </c>
      <c r="E8" s="2" t="s">
        <v>756</v>
      </c>
      <c r="F8" s="2" t="s">
        <v>757</v>
      </c>
      <c r="G8" s="2" t="s">
        <v>758</v>
      </c>
      <c r="H8" s="2" t="s">
        <v>759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5">
      <c r="A9" s="2" t="s">
        <v>22</v>
      </c>
      <c r="B9" s="2" t="s">
        <v>760</v>
      </c>
      <c r="C9" s="2" t="s">
        <v>23</v>
      </c>
      <c r="D9" s="2" t="s">
        <v>24</v>
      </c>
      <c r="E9" s="2" t="s">
        <v>761</v>
      </c>
      <c r="F9" s="2" t="s">
        <v>762</v>
      </c>
      <c r="G9" s="2" t="s">
        <v>763</v>
      </c>
      <c r="H9" s="2" t="s">
        <v>764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2"/>
      <c r="B10" s="2"/>
      <c r="C10" s="2"/>
      <c r="D10" s="2"/>
      <c r="E10" s="2"/>
      <c r="F10" s="2"/>
      <c r="G10" s="2"/>
      <c r="H10" s="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>
      <c r="A11" s="8" t="s">
        <v>25</v>
      </c>
      <c r="B11" s="22" t="s">
        <v>26</v>
      </c>
      <c r="C11" s="22"/>
      <c r="D11" s="22"/>
      <c r="E11" s="22"/>
      <c r="F11" s="22"/>
      <c r="G11" s="22"/>
      <c r="H11" s="22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57">
      <c r="A12" s="2" t="s">
        <v>27</v>
      </c>
      <c r="B12" s="2" t="s">
        <v>765</v>
      </c>
      <c r="C12" s="2"/>
      <c r="D12" s="2"/>
      <c r="E12" s="2"/>
      <c r="F12" s="2"/>
      <c r="G12" s="2"/>
      <c r="H12" s="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42.75">
      <c r="A13" s="2" t="s">
        <v>720</v>
      </c>
      <c r="B13" s="2" t="s">
        <v>766</v>
      </c>
      <c r="C13" s="2"/>
      <c r="D13" s="2"/>
      <c r="E13" s="2"/>
      <c r="F13" s="2"/>
      <c r="G13" s="2"/>
      <c r="H13" s="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42.75">
      <c r="A14" s="2" t="s">
        <v>28</v>
      </c>
      <c r="B14" s="2" t="s">
        <v>767</v>
      </c>
      <c r="C14" s="2"/>
      <c r="D14" s="2"/>
      <c r="E14" s="2"/>
      <c r="F14" s="2"/>
      <c r="G14" s="2"/>
      <c r="H14" s="2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42.75">
      <c r="A15" s="2" t="s">
        <v>29</v>
      </c>
      <c r="B15" s="2" t="s">
        <v>768</v>
      </c>
      <c r="C15" s="2"/>
      <c r="D15" s="2"/>
      <c r="E15" s="2"/>
      <c r="F15" s="2"/>
      <c r="G15" s="2"/>
      <c r="H15" s="2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42.75">
      <c r="A16" s="2" t="s">
        <v>30</v>
      </c>
      <c r="B16" s="2" t="s">
        <v>769</v>
      </c>
      <c r="C16" s="2"/>
      <c r="D16" s="2"/>
      <c r="E16" s="2"/>
      <c r="F16" s="2"/>
      <c r="G16" s="2"/>
      <c r="H16" s="2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</sheetData>
  <mergeCells count="2">
    <mergeCell ref="A1:H1"/>
    <mergeCell ref="B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5"/>
  <sheetViews>
    <sheetView topLeftCell="I1" workbookViewId="0">
      <selection activeCell="L19" sqref="L19"/>
    </sheetView>
  </sheetViews>
  <sheetFormatPr defaultRowHeight="14.25"/>
  <cols>
    <col min="1" max="1" width="14.625" customWidth="1"/>
    <col min="2" max="2" width="37.625" customWidth="1"/>
    <col min="3" max="3" width="37.125" customWidth="1"/>
    <col min="4" max="8" width="55.625" customWidth="1"/>
    <col min="9" max="9" width="25.75" customWidth="1"/>
    <col min="10" max="10" width="29" customWidth="1"/>
    <col min="11" max="11" width="32.25" customWidth="1"/>
    <col min="12" max="12" width="28.625" customWidth="1"/>
    <col min="13" max="13" width="55.625" customWidth="1"/>
    <col min="14" max="26" width="9.625" customWidth="1"/>
  </cols>
  <sheetData>
    <row r="1" spans="1:26" ht="15" customHeight="1">
      <c r="A1" s="20" t="s">
        <v>31</v>
      </c>
      <c r="B1" s="21" t="s">
        <v>31</v>
      </c>
      <c r="C1" s="21" t="s">
        <v>31</v>
      </c>
      <c r="D1" s="21" t="s">
        <v>31</v>
      </c>
      <c r="E1" s="21" t="s">
        <v>31</v>
      </c>
      <c r="F1" s="21" t="s">
        <v>31</v>
      </c>
      <c r="G1" s="21" t="s">
        <v>31</v>
      </c>
      <c r="H1" s="21" t="s">
        <v>31</v>
      </c>
      <c r="I1" s="21" t="s">
        <v>31</v>
      </c>
      <c r="J1" s="21" t="s">
        <v>31</v>
      </c>
      <c r="K1" s="21" t="s">
        <v>31</v>
      </c>
      <c r="L1" s="21" t="s">
        <v>31</v>
      </c>
      <c r="M1" s="21" t="s">
        <v>31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 t="s">
        <v>32</v>
      </c>
      <c r="B3" s="7" t="s">
        <v>33</v>
      </c>
      <c r="C3" s="7" t="s">
        <v>34</v>
      </c>
      <c r="D3" s="7" t="s">
        <v>35</v>
      </c>
      <c r="E3" s="7" t="s">
        <v>36</v>
      </c>
      <c r="F3" s="7" t="s">
        <v>37</v>
      </c>
      <c r="G3" s="7" t="s">
        <v>38</v>
      </c>
      <c r="H3" s="7" t="s">
        <v>39</v>
      </c>
      <c r="I3" s="7" t="s">
        <v>40</v>
      </c>
      <c r="J3" s="7" t="s">
        <v>41</v>
      </c>
      <c r="K3" s="7" t="s">
        <v>42</v>
      </c>
      <c r="L3" s="7" t="s">
        <v>43</v>
      </c>
      <c r="M3" s="7" t="s">
        <v>44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57">
      <c r="A4" s="2" t="s">
        <v>45</v>
      </c>
      <c r="B4" s="2" t="s">
        <v>248</v>
      </c>
      <c r="C4" s="2" t="s">
        <v>249</v>
      </c>
      <c r="D4" s="2" t="s">
        <v>250</v>
      </c>
      <c r="E4" s="2" t="s">
        <v>251</v>
      </c>
      <c r="F4" s="2" t="s">
        <v>252</v>
      </c>
      <c r="G4" s="2" t="s">
        <v>253</v>
      </c>
      <c r="H4" s="2" t="s">
        <v>179</v>
      </c>
      <c r="I4" s="2" t="s">
        <v>225</v>
      </c>
      <c r="J4" s="2" t="s">
        <v>254</v>
      </c>
      <c r="K4" s="2" t="s">
        <v>228</v>
      </c>
      <c r="L4" s="4" t="s">
        <v>721</v>
      </c>
      <c r="M4" s="2" t="s">
        <v>770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42.75">
      <c r="A5" s="2" t="s">
        <v>46</v>
      </c>
      <c r="B5" s="2" t="s">
        <v>255</v>
      </c>
      <c r="C5" s="2" t="s">
        <v>256</v>
      </c>
      <c r="D5" s="2" t="s">
        <v>250</v>
      </c>
      <c r="E5" s="2" t="s">
        <v>251</v>
      </c>
      <c r="F5" s="2" t="s">
        <v>257</v>
      </c>
      <c r="G5" s="2" t="s">
        <v>258</v>
      </c>
      <c r="H5" s="2" t="s">
        <v>179</v>
      </c>
      <c r="I5" s="2" t="s">
        <v>225</v>
      </c>
      <c r="J5" s="2" t="s">
        <v>254</v>
      </c>
      <c r="K5" s="2" t="s">
        <v>228</v>
      </c>
      <c r="L5" s="4" t="s">
        <v>721</v>
      </c>
      <c r="M5" s="2" t="s">
        <v>771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42.75">
      <c r="A6" s="2" t="s">
        <v>47</v>
      </c>
      <c r="B6" s="2" t="s">
        <v>259</v>
      </c>
      <c r="C6" s="2" t="s">
        <v>260</v>
      </c>
      <c r="D6" s="2" t="s">
        <v>261</v>
      </c>
      <c r="E6" s="2" t="s">
        <v>262</v>
      </c>
      <c r="F6" s="2" t="s">
        <v>263</v>
      </c>
      <c r="G6" s="2" t="s">
        <v>264</v>
      </c>
      <c r="H6" s="2" t="s">
        <v>179</v>
      </c>
      <c r="I6" s="2" t="s">
        <v>225</v>
      </c>
      <c r="J6" s="2" t="s">
        <v>254</v>
      </c>
      <c r="K6" s="2" t="s">
        <v>228</v>
      </c>
      <c r="L6" s="4" t="s">
        <v>721</v>
      </c>
      <c r="M6" s="2" t="s">
        <v>772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2" t="s">
        <v>48</v>
      </c>
      <c r="B7" s="2" t="s">
        <v>265</v>
      </c>
      <c r="C7" s="2" t="s">
        <v>266</v>
      </c>
      <c r="D7" s="2" t="s">
        <v>267</v>
      </c>
      <c r="E7" s="2" t="s">
        <v>251</v>
      </c>
      <c r="F7" s="2" t="s">
        <v>268</v>
      </c>
      <c r="G7" s="2" t="s">
        <v>269</v>
      </c>
      <c r="H7" s="2" t="s">
        <v>179</v>
      </c>
      <c r="I7" s="2" t="s">
        <v>229</v>
      </c>
      <c r="J7" s="2" t="s">
        <v>254</v>
      </c>
      <c r="K7" s="2" t="s">
        <v>228</v>
      </c>
      <c r="L7" s="4" t="s">
        <v>721</v>
      </c>
      <c r="M7" s="2" t="s">
        <v>773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5">
      <c r="A8" s="2" t="s">
        <v>49</v>
      </c>
      <c r="B8" s="2" t="s">
        <v>270</v>
      </c>
      <c r="C8" s="2" t="s">
        <v>271</v>
      </c>
      <c r="D8" s="2" t="s">
        <v>267</v>
      </c>
      <c r="E8" s="2" t="s">
        <v>272</v>
      </c>
      <c r="F8" s="2" t="s">
        <v>273</v>
      </c>
      <c r="G8" s="2" t="s">
        <v>274</v>
      </c>
      <c r="H8" s="2" t="s">
        <v>179</v>
      </c>
      <c r="I8" s="2" t="s">
        <v>232</v>
      </c>
      <c r="J8" s="2" t="s">
        <v>254</v>
      </c>
      <c r="K8" s="2" t="s">
        <v>228</v>
      </c>
      <c r="L8" s="4" t="s">
        <v>721</v>
      </c>
      <c r="M8" s="2" t="s">
        <v>774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5">
      <c r="A9" s="2" t="s">
        <v>50</v>
      </c>
      <c r="B9" s="2" t="s">
        <v>275</v>
      </c>
      <c r="C9" s="2" t="s">
        <v>276</v>
      </c>
      <c r="D9" s="2" t="s">
        <v>277</v>
      </c>
      <c r="E9" s="2" t="s">
        <v>278</v>
      </c>
      <c r="F9" s="2" t="s">
        <v>279</v>
      </c>
      <c r="G9" s="2" t="s">
        <v>280</v>
      </c>
      <c r="H9" s="2" t="s">
        <v>179</v>
      </c>
      <c r="I9" s="2" t="s">
        <v>229</v>
      </c>
      <c r="J9" s="2" t="s">
        <v>254</v>
      </c>
      <c r="K9" s="2" t="s">
        <v>228</v>
      </c>
      <c r="L9" s="4" t="s">
        <v>721</v>
      </c>
      <c r="M9" s="2" t="s">
        <v>775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8.5">
      <c r="A10" s="2" t="s">
        <v>51</v>
      </c>
      <c r="B10" s="2" t="s">
        <v>281</v>
      </c>
      <c r="C10" s="2" t="s">
        <v>282</v>
      </c>
      <c r="D10" s="2" t="s">
        <v>267</v>
      </c>
      <c r="E10" s="2" t="s">
        <v>283</v>
      </c>
      <c r="F10" s="2" t="s">
        <v>284</v>
      </c>
      <c r="G10" s="2" t="s">
        <v>269</v>
      </c>
      <c r="H10" s="2" t="s">
        <v>179</v>
      </c>
      <c r="I10" s="2" t="s">
        <v>229</v>
      </c>
      <c r="J10" s="2" t="s">
        <v>254</v>
      </c>
      <c r="K10" s="2" t="s">
        <v>228</v>
      </c>
      <c r="L10" s="4" t="s">
        <v>721</v>
      </c>
      <c r="M10" s="2" t="s">
        <v>776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8.5">
      <c r="A11" s="2" t="s">
        <v>52</v>
      </c>
      <c r="B11" s="2" t="s">
        <v>285</v>
      </c>
      <c r="C11" s="2" t="s">
        <v>286</v>
      </c>
      <c r="D11" s="2" t="s">
        <v>287</v>
      </c>
      <c r="E11" s="2" t="s">
        <v>288</v>
      </c>
      <c r="F11" s="2" t="s">
        <v>289</v>
      </c>
      <c r="G11" s="2" t="s">
        <v>290</v>
      </c>
      <c r="H11" s="2" t="s">
        <v>179</v>
      </c>
      <c r="I11" s="2" t="s">
        <v>225</v>
      </c>
      <c r="J11" s="2" t="s">
        <v>254</v>
      </c>
      <c r="K11" s="2" t="s">
        <v>228</v>
      </c>
      <c r="L11" s="4" t="s">
        <v>721</v>
      </c>
      <c r="M11" s="2" t="s">
        <v>777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8.5">
      <c r="A12" s="2" t="s">
        <v>53</v>
      </c>
      <c r="B12" s="2" t="s">
        <v>291</v>
      </c>
      <c r="C12" s="2" t="s">
        <v>292</v>
      </c>
      <c r="D12" s="2" t="s">
        <v>267</v>
      </c>
      <c r="E12" s="2" t="s">
        <v>293</v>
      </c>
      <c r="F12" s="2" t="s">
        <v>294</v>
      </c>
      <c r="G12" s="2" t="s">
        <v>295</v>
      </c>
      <c r="H12" s="2" t="s">
        <v>179</v>
      </c>
      <c r="I12" s="2" t="s">
        <v>232</v>
      </c>
      <c r="J12" s="2" t="s">
        <v>254</v>
      </c>
      <c r="K12" s="2" t="s">
        <v>235</v>
      </c>
      <c r="L12" s="4" t="s">
        <v>721</v>
      </c>
      <c r="M12" s="2" t="s">
        <v>778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8.5">
      <c r="A13" s="2" t="s">
        <v>54</v>
      </c>
      <c r="B13" s="2" t="s">
        <v>296</v>
      </c>
      <c r="C13" s="2" t="s">
        <v>296</v>
      </c>
      <c r="D13" s="2" t="s">
        <v>267</v>
      </c>
      <c r="E13" s="2" t="s">
        <v>297</v>
      </c>
      <c r="F13" s="2" t="s">
        <v>298</v>
      </c>
      <c r="G13" s="2" t="s">
        <v>299</v>
      </c>
      <c r="H13" s="2" t="s">
        <v>183</v>
      </c>
      <c r="I13" s="2" t="s">
        <v>229</v>
      </c>
      <c r="J13" s="2" t="s">
        <v>254</v>
      </c>
      <c r="K13" s="2" t="s">
        <v>228</v>
      </c>
      <c r="L13" s="4" t="s">
        <v>721</v>
      </c>
      <c r="M13" s="2" t="s">
        <v>779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8.5">
      <c r="A14" s="2" t="s">
        <v>55</v>
      </c>
      <c r="B14" s="2" t="s">
        <v>300</v>
      </c>
      <c r="C14" s="2" t="s">
        <v>301</v>
      </c>
      <c r="D14" s="2" t="s">
        <v>267</v>
      </c>
      <c r="E14" s="2" t="s">
        <v>302</v>
      </c>
      <c r="F14" s="2" t="s">
        <v>303</v>
      </c>
      <c r="G14" s="2" t="s">
        <v>304</v>
      </c>
      <c r="H14" s="2" t="s">
        <v>185</v>
      </c>
      <c r="I14" s="2" t="s">
        <v>232</v>
      </c>
      <c r="J14" s="2" t="s">
        <v>254</v>
      </c>
      <c r="K14" s="2" t="s">
        <v>228</v>
      </c>
      <c r="L14" s="4" t="s">
        <v>721</v>
      </c>
      <c r="M14" s="2" t="s">
        <v>881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57">
      <c r="A15" s="2" t="s">
        <v>56</v>
      </c>
      <c r="B15" s="2" t="s">
        <v>305</v>
      </c>
      <c r="C15" s="2" t="s">
        <v>306</v>
      </c>
      <c r="D15" s="2" t="s">
        <v>307</v>
      </c>
      <c r="E15" s="2" t="s">
        <v>308</v>
      </c>
      <c r="F15" s="2" t="s">
        <v>309</v>
      </c>
      <c r="G15" s="2" t="s">
        <v>310</v>
      </c>
      <c r="H15" s="2" t="s">
        <v>179</v>
      </c>
      <c r="I15" s="2" t="s">
        <v>229</v>
      </c>
      <c r="J15" s="2" t="s">
        <v>254</v>
      </c>
      <c r="K15" s="2" t="s">
        <v>228</v>
      </c>
      <c r="L15" s="4" t="s">
        <v>721</v>
      </c>
      <c r="M15" s="2" t="s">
        <v>780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57">
      <c r="A16" s="2" t="s">
        <v>57</v>
      </c>
      <c r="B16" s="2" t="s">
        <v>311</v>
      </c>
      <c r="C16" s="2" t="s">
        <v>312</v>
      </c>
      <c r="D16" s="2" t="s">
        <v>313</v>
      </c>
      <c r="E16" s="2" t="s">
        <v>314</v>
      </c>
      <c r="F16" s="2" t="s">
        <v>315</v>
      </c>
      <c r="G16" s="2" t="s">
        <v>316</v>
      </c>
      <c r="H16" s="2" t="s">
        <v>183</v>
      </c>
      <c r="I16" s="2" t="s">
        <v>225</v>
      </c>
      <c r="J16" s="2" t="s">
        <v>254</v>
      </c>
      <c r="K16" s="2" t="s">
        <v>228</v>
      </c>
      <c r="L16" s="4" t="s">
        <v>721</v>
      </c>
      <c r="M16" s="2" t="s">
        <v>781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42.75">
      <c r="A17" s="2" t="s">
        <v>58</v>
      </c>
      <c r="B17" s="2" t="s">
        <v>317</v>
      </c>
      <c r="C17" s="2" t="s">
        <v>318</v>
      </c>
      <c r="D17" s="2" t="s">
        <v>319</v>
      </c>
      <c r="E17" s="2" t="s">
        <v>320</v>
      </c>
      <c r="F17" s="2" t="s">
        <v>321</v>
      </c>
      <c r="G17" s="2" t="s">
        <v>322</v>
      </c>
      <c r="H17" s="2" t="s">
        <v>183</v>
      </c>
      <c r="I17" s="2" t="s">
        <v>229</v>
      </c>
      <c r="J17" s="2" t="s">
        <v>254</v>
      </c>
      <c r="K17" s="2" t="s">
        <v>228</v>
      </c>
      <c r="L17" s="4" t="s">
        <v>721</v>
      </c>
      <c r="M17" s="2" t="s">
        <v>782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8.5">
      <c r="A18" s="2" t="s">
        <v>59</v>
      </c>
      <c r="B18" s="2" t="s">
        <v>323</v>
      </c>
      <c r="C18" s="2" t="s">
        <v>324</v>
      </c>
      <c r="D18" s="2" t="s">
        <v>325</v>
      </c>
      <c r="E18" s="2" t="s">
        <v>326</v>
      </c>
      <c r="F18" s="2" t="s">
        <v>327</v>
      </c>
      <c r="G18" s="2" t="s">
        <v>322</v>
      </c>
      <c r="H18" s="2" t="s">
        <v>183</v>
      </c>
      <c r="I18" s="2" t="s">
        <v>232</v>
      </c>
      <c r="J18" s="2" t="s">
        <v>254</v>
      </c>
      <c r="K18" s="2" t="s">
        <v>228</v>
      </c>
      <c r="L18" s="4" t="s">
        <v>721</v>
      </c>
      <c r="M18" s="2" t="s">
        <v>783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8.5">
      <c r="A19" s="2" t="s">
        <v>60</v>
      </c>
      <c r="B19" s="2" t="s">
        <v>328</v>
      </c>
      <c r="C19" s="2" t="s">
        <v>329</v>
      </c>
      <c r="D19" s="2" t="s">
        <v>330</v>
      </c>
      <c r="E19" s="2" t="s">
        <v>331</v>
      </c>
      <c r="F19" s="2" t="s">
        <v>332</v>
      </c>
      <c r="G19" s="2" t="s">
        <v>333</v>
      </c>
      <c r="H19" s="2" t="s">
        <v>183</v>
      </c>
      <c r="I19" s="2" t="s">
        <v>232</v>
      </c>
      <c r="J19" s="2" t="s">
        <v>254</v>
      </c>
      <c r="K19" s="2" t="s">
        <v>228</v>
      </c>
      <c r="L19" s="4" t="s">
        <v>721</v>
      </c>
      <c r="M19" s="2" t="s">
        <v>784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8.5">
      <c r="A20" s="2" t="s">
        <v>61</v>
      </c>
      <c r="B20" s="2" t="s">
        <v>334</v>
      </c>
      <c r="C20" s="2" t="s">
        <v>335</v>
      </c>
      <c r="D20" s="2" t="s">
        <v>336</v>
      </c>
      <c r="E20" s="2" t="s">
        <v>337</v>
      </c>
      <c r="F20" s="2" t="s">
        <v>338</v>
      </c>
      <c r="G20" s="2" t="s">
        <v>339</v>
      </c>
      <c r="H20" s="2" t="s">
        <v>183</v>
      </c>
      <c r="I20" s="2" t="s">
        <v>232</v>
      </c>
      <c r="J20" s="2" t="s">
        <v>254</v>
      </c>
      <c r="K20" s="2" t="s">
        <v>228</v>
      </c>
      <c r="L20" s="4" t="s">
        <v>721</v>
      </c>
      <c r="M20" s="2" t="s">
        <v>785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8.5">
      <c r="A21" s="2" t="s">
        <v>62</v>
      </c>
      <c r="B21" s="2" t="s">
        <v>340</v>
      </c>
      <c r="C21" s="2" t="s">
        <v>340</v>
      </c>
      <c r="D21" s="2" t="s">
        <v>341</v>
      </c>
      <c r="E21" s="2" t="s">
        <v>342</v>
      </c>
      <c r="F21" s="2" t="s">
        <v>343</v>
      </c>
      <c r="G21" s="2" t="s">
        <v>344</v>
      </c>
      <c r="H21" s="2" t="s">
        <v>179</v>
      </c>
      <c r="I21" s="2" t="s">
        <v>229</v>
      </c>
      <c r="J21" s="2" t="s">
        <v>254</v>
      </c>
      <c r="K21" s="2" t="s">
        <v>228</v>
      </c>
      <c r="L21" s="4" t="s">
        <v>721</v>
      </c>
      <c r="M21" s="2" t="s">
        <v>786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2" t="s">
        <v>63</v>
      </c>
      <c r="B22" s="2" t="s">
        <v>345</v>
      </c>
      <c r="C22" s="2" t="s">
        <v>346</v>
      </c>
      <c r="D22" s="2" t="s">
        <v>347</v>
      </c>
      <c r="E22" s="2" t="s">
        <v>348</v>
      </c>
      <c r="F22" s="2" t="s">
        <v>349</v>
      </c>
      <c r="G22" s="2" t="s">
        <v>350</v>
      </c>
      <c r="H22" s="2" t="s">
        <v>179</v>
      </c>
      <c r="I22" s="2" t="s">
        <v>232</v>
      </c>
      <c r="J22" s="2" t="s">
        <v>254</v>
      </c>
      <c r="K22" s="2" t="s">
        <v>228</v>
      </c>
      <c r="L22" s="4" t="s">
        <v>721</v>
      </c>
      <c r="M22" s="2" t="s">
        <v>787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57">
      <c r="A23" s="2" t="s">
        <v>64</v>
      </c>
      <c r="B23" s="2" t="s">
        <v>351</v>
      </c>
      <c r="C23" s="2" t="s">
        <v>352</v>
      </c>
      <c r="D23" s="2" t="s">
        <v>267</v>
      </c>
      <c r="E23" s="2" t="s">
        <v>353</v>
      </c>
      <c r="F23" s="2" t="s">
        <v>354</v>
      </c>
      <c r="G23" s="2" t="s">
        <v>355</v>
      </c>
      <c r="H23" s="2" t="s">
        <v>181</v>
      </c>
      <c r="I23" s="2" t="s">
        <v>225</v>
      </c>
      <c r="J23" s="2" t="s">
        <v>254</v>
      </c>
      <c r="K23" s="2" t="s">
        <v>228</v>
      </c>
      <c r="L23" s="4" t="s">
        <v>721</v>
      </c>
      <c r="M23" s="2" t="s">
        <v>788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42.75">
      <c r="A24" s="2" t="s">
        <v>65</v>
      </c>
      <c r="B24" s="2" t="s">
        <v>356</v>
      </c>
      <c r="C24" s="2" t="s">
        <v>357</v>
      </c>
      <c r="D24" s="2" t="s">
        <v>267</v>
      </c>
      <c r="E24" s="2" t="s">
        <v>358</v>
      </c>
      <c r="F24" s="2" t="s">
        <v>359</v>
      </c>
      <c r="G24" s="2" t="s">
        <v>360</v>
      </c>
      <c r="H24" s="2" t="s">
        <v>183</v>
      </c>
      <c r="I24" s="2" t="s">
        <v>232</v>
      </c>
      <c r="J24" s="2" t="s">
        <v>254</v>
      </c>
      <c r="K24" s="2" t="s">
        <v>228</v>
      </c>
      <c r="L24" s="4" t="s">
        <v>721</v>
      </c>
      <c r="M24" s="2" t="s">
        <v>789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8.5">
      <c r="A25" s="2" t="s">
        <v>66</v>
      </c>
      <c r="B25" s="2" t="s">
        <v>361</v>
      </c>
      <c r="C25" s="2" t="s">
        <v>362</v>
      </c>
      <c r="D25" s="2" t="s">
        <v>267</v>
      </c>
      <c r="E25" s="2" t="s">
        <v>363</v>
      </c>
      <c r="F25" s="2" t="s">
        <v>364</v>
      </c>
      <c r="G25" s="2" t="s">
        <v>365</v>
      </c>
      <c r="H25" s="2" t="s">
        <v>183</v>
      </c>
      <c r="I25" s="2" t="s">
        <v>229</v>
      </c>
      <c r="J25" s="2" t="s">
        <v>254</v>
      </c>
      <c r="K25" s="2" t="s">
        <v>228</v>
      </c>
      <c r="L25" s="4" t="s">
        <v>721</v>
      </c>
      <c r="M25" s="2" t="s">
        <v>790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</sheetData>
  <mergeCells count="1">
    <mergeCell ref="A1:M1"/>
  </mergeCells>
  <conditionalFormatting sqref="I4:I25">
    <cfRule type="expression" dxfId="8" priority="1">
      <formula>I4="Высокий"</formula>
    </cfRule>
    <cfRule type="expression" dxfId="7" priority="2">
      <formula>I4="Средний"</formula>
    </cfRule>
    <cfRule type="expression" dxfId="6" priority="3">
      <formula>I4="Низкий"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'08_Справочники'!$A$2:$A$7</xm:f>
          </x14:formula1>
          <xm:sqref>H4:H25</xm:sqref>
        </x14:dataValidation>
        <x14:dataValidation type="list" xr:uid="{00000000-0002-0000-0100-000002000000}">
          <x14:formula1>
            <xm:f>'08_Справочники'!$B$2:$B$6</xm:f>
          </x14:formula1>
          <xm:sqref>K4:K25</xm:sqref>
        </x14:dataValidation>
        <x14:dataValidation type="list" allowBlank="1" showInputMessage="1" showErrorMessage="1" xr:uid="{C90052E2-FE71-4784-93B4-0EE2199C130F}">
          <x14:formula1>
            <xm:f>'08_Справочники'!$C$2:$C$4</xm:f>
          </x14:formula1>
          <xm:sqref>I4:I25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80"/>
  <sheetViews>
    <sheetView zoomScale="70" zoomScaleNormal="70" workbookViewId="0">
      <selection activeCell="D22" sqref="D22"/>
    </sheetView>
  </sheetViews>
  <sheetFormatPr defaultRowHeight="14.25"/>
  <cols>
    <col min="1" max="1" width="15.375" customWidth="1"/>
    <col min="2" max="2" width="32.75" customWidth="1"/>
    <col min="3" max="3" width="49.625" customWidth="1"/>
    <col min="4" max="5" width="55.625" customWidth="1"/>
    <col min="6" max="6" width="35.25" customWidth="1"/>
    <col min="7" max="7" width="32.75" customWidth="1"/>
    <col min="8" max="8" width="28.125" customWidth="1"/>
    <col min="9" max="9" width="55.625" customWidth="1"/>
    <col min="10" max="10" width="48.625" customWidth="1"/>
    <col min="11" max="12" width="55.625" customWidth="1"/>
    <col min="13" max="26" width="9.625" customWidth="1"/>
  </cols>
  <sheetData>
    <row r="1" spans="1:26" ht="15" customHeight="1">
      <c r="A1" s="20" t="s">
        <v>67</v>
      </c>
      <c r="B1" s="21" t="s">
        <v>67</v>
      </c>
      <c r="C1" s="21" t="s">
        <v>67</v>
      </c>
      <c r="D1" s="21" t="s">
        <v>67</v>
      </c>
      <c r="E1" s="21" t="s">
        <v>67</v>
      </c>
      <c r="F1" s="21" t="s">
        <v>67</v>
      </c>
      <c r="G1" s="21" t="s">
        <v>67</v>
      </c>
      <c r="H1" s="21" t="s">
        <v>67</v>
      </c>
      <c r="I1" s="21" t="s">
        <v>67</v>
      </c>
      <c r="J1" s="21" t="s">
        <v>67</v>
      </c>
      <c r="K1" s="21" t="s">
        <v>67</v>
      </c>
      <c r="L1" s="21" t="s">
        <v>67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 t="s">
        <v>68</v>
      </c>
      <c r="B3" s="7" t="s">
        <v>33</v>
      </c>
      <c r="C3" s="7" t="s">
        <v>69</v>
      </c>
      <c r="D3" s="7" t="s">
        <v>70</v>
      </c>
      <c r="E3" s="7" t="s">
        <v>71</v>
      </c>
      <c r="F3" s="7" t="s">
        <v>72</v>
      </c>
      <c r="G3" s="7" t="s">
        <v>73</v>
      </c>
      <c r="H3" s="7" t="s">
        <v>74</v>
      </c>
      <c r="I3" s="7" t="s">
        <v>75</v>
      </c>
      <c r="J3" s="7" t="s">
        <v>76</v>
      </c>
      <c r="K3" s="7" t="s">
        <v>77</v>
      </c>
      <c r="L3" s="7" t="s">
        <v>44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71.25">
      <c r="A4" s="2" t="s">
        <v>45</v>
      </c>
      <c r="B4" s="2" t="str">
        <f>IFERROR(INDEX('01_Компании'!$B$4:$B$25,MATCH(A4,'01_Компании'!$A$4:$A$25,0)),"")</f>
        <v>PlantUML</v>
      </c>
      <c r="C4" s="2" t="s">
        <v>366</v>
      </c>
      <c r="D4" s="2" t="s">
        <v>367</v>
      </c>
      <c r="E4" s="2" t="s">
        <v>368</v>
      </c>
      <c r="F4" s="2" t="s">
        <v>233</v>
      </c>
      <c r="G4" s="2">
        <v>4</v>
      </c>
      <c r="H4" s="4" t="s">
        <v>721</v>
      </c>
      <c r="I4" s="2" t="s">
        <v>369</v>
      </c>
      <c r="J4" s="2">
        <v>4</v>
      </c>
      <c r="K4" s="2" t="s">
        <v>370</v>
      </c>
      <c r="L4" s="2" t="s">
        <v>371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42.75">
      <c r="A5" s="2" t="s">
        <v>45</v>
      </c>
      <c r="B5" s="2" t="str">
        <f>IFERROR(INDEX('01_Компании'!$B$4:$B$25,MATCH(A5,'01_Компании'!$A$4:$A$25,0)),"")</f>
        <v>PlantUML</v>
      </c>
      <c r="C5" s="2" t="s">
        <v>372</v>
      </c>
      <c r="D5" s="2" t="s">
        <v>373</v>
      </c>
      <c r="E5" s="2" t="s">
        <v>374</v>
      </c>
      <c r="F5" s="2" t="s">
        <v>246</v>
      </c>
      <c r="G5" s="2">
        <v>3</v>
      </c>
      <c r="H5" s="4" t="s">
        <v>721</v>
      </c>
      <c r="I5" s="2" t="s">
        <v>375</v>
      </c>
      <c r="J5" s="2">
        <v>3</v>
      </c>
      <c r="K5" s="2" t="s">
        <v>376</v>
      </c>
      <c r="L5" s="2" t="s">
        <v>377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8.5">
      <c r="A6" s="2" t="s">
        <v>45</v>
      </c>
      <c r="B6" s="2" t="str">
        <f>IFERROR(INDEX('01_Компании'!$B$4:$B$25,MATCH(A6,'01_Компании'!$A$4:$A$25,0)),"")</f>
        <v>PlantUML</v>
      </c>
      <c r="C6" s="2" t="s">
        <v>378</v>
      </c>
      <c r="D6" s="2" t="s">
        <v>373</v>
      </c>
      <c r="E6" s="2" t="s">
        <v>379</v>
      </c>
      <c r="F6" s="2" t="s">
        <v>243</v>
      </c>
      <c r="G6" s="2">
        <v>3</v>
      </c>
      <c r="H6" s="4" t="s">
        <v>721</v>
      </c>
      <c r="I6" s="2" t="s">
        <v>380</v>
      </c>
      <c r="J6" s="2">
        <v>3</v>
      </c>
      <c r="K6" s="2" t="s">
        <v>376</v>
      </c>
      <c r="L6" s="2" t="s">
        <v>381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8.5">
      <c r="A7" s="2" t="s">
        <v>45</v>
      </c>
      <c r="B7" s="2" t="str">
        <f>IFERROR(INDEX('01_Компании'!$B$4:$B$25,MATCH(A7,'01_Компании'!$A$4:$A$25,0)),"")</f>
        <v>PlantUML</v>
      </c>
      <c r="C7" s="2" t="s">
        <v>382</v>
      </c>
      <c r="D7" s="2" t="s">
        <v>373</v>
      </c>
      <c r="E7" s="2" t="s">
        <v>383</v>
      </c>
      <c r="F7" s="2" t="s">
        <v>245</v>
      </c>
      <c r="G7" s="2">
        <v>3</v>
      </c>
      <c r="H7" s="4" t="s">
        <v>721</v>
      </c>
      <c r="I7" s="2" t="s">
        <v>384</v>
      </c>
      <c r="J7" s="2">
        <v>3</v>
      </c>
      <c r="K7" s="2" t="s">
        <v>376</v>
      </c>
      <c r="L7" s="2" t="s">
        <v>385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5">
      <c r="A8" s="2" t="s">
        <v>45</v>
      </c>
      <c r="B8" s="2" t="str">
        <f>IFERROR(INDEX('01_Компании'!$B$4:$B$25,MATCH(A8,'01_Компании'!$A$4:$A$25,0)),"")</f>
        <v>PlantUML</v>
      </c>
      <c r="C8" s="2" t="s">
        <v>386</v>
      </c>
      <c r="D8" s="2" t="s">
        <v>387</v>
      </c>
      <c r="E8" s="2" t="s">
        <v>388</v>
      </c>
      <c r="F8" s="2" t="s">
        <v>245</v>
      </c>
      <c r="G8" s="2">
        <v>3</v>
      </c>
      <c r="H8" s="4" t="s">
        <v>721</v>
      </c>
      <c r="I8" s="2" t="s">
        <v>389</v>
      </c>
      <c r="J8" s="2">
        <v>4</v>
      </c>
      <c r="K8" s="2" t="s">
        <v>390</v>
      </c>
      <c r="L8" s="2" t="s">
        <v>391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5">
      <c r="A9" s="2" t="s">
        <v>45</v>
      </c>
      <c r="B9" s="2" t="str">
        <f>IFERROR(INDEX('01_Компании'!$B$4:$B$25,MATCH(A9,'01_Компании'!$A$4:$A$25,0)),"")</f>
        <v>PlantUML</v>
      </c>
      <c r="C9" s="2" t="s">
        <v>392</v>
      </c>
      <c r="D9" s="2" t="s">
        <v>367</v>
      </c>
      <c r="E9" s="2" t="s">
        <v>393</v>
      </c>
      <c r="F9" s="2" t="s">
        <v>239</v>
      </c>
      <c r="G9" s="2">
        <v>5</v>
      </c>
      <c r="H9" s="4" t="s">
        <v>721</v>
      </c>
      <c r="I9" s="2" t="s">
        <v>725</v>
      </c>
      <c r="J9" s="2">
        <v>4</v>
      </c>
      <c r="K9" s="2" t="s">
        <v>394</v>
      </c>
      <c r="L9" s="2" t="s">
        <v>395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42.75">
      <c r="A10" s="2" t="s">
        <v>45</v>
      </c>
      <c r="B10" s="2" t="str">
        <f>IFERROR(INDEX('01_Компании'!$B$4:$B$25,MATCH(A10,'01_Компании'!$A$4:$A$25,0)),"")</f>
        <v>PlantUML</v>
      </c>
      <c r="C10" s="2" t="s">
        <v>396</v>
      </c>
      <c r="D10" s="2" t="s">
        <v>397</v>
      </c>
      <c r="E10" s="2" t="s">
        <v>398</v>
      </c>
      <c r="F10" s="2" t="s">
        <v>246</v>
      </c>
      <c r="G10" s="2">
        <v>3</v>
      </c>
      <c r="H10" s="4" t="s">
        <v>721</v>
      </c>
      <c r="I10" s="2" t="s">
        <v>399</v>
      </c>
      <c r="J10" s="2">
        <v>3</v>
      </c>
      <c r="K10" s="2" t="s">
        <v>400</v>
      </c>
      <c r="L10" s="2" t="s">
        <v>401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8.5">
      <c r="A11" s="2" t="s">
        <v>45</v>
      </c>
      <c r="B11" s="2" t="str">
        <f>IFERROR(INDEX('01_Компании'!$B$4:$B$25,MATCH(A11,'01_Компании'!$A$4:$A$25,0)),"")</f>
        <v>PlantUML</v>
      </c>
      <c r="C11" s="2" t="s">
        <v>402</v>
      </c>
      <c r="D11" s="2" t="s">
        <v>403</v>
      </c>
      <c r="E11" s="2" t="s">
        <v>882</v>
      </c>
      <c r="F11" s="2" t="s">
        <v>246</v>
      </c>
      <c r="G11" s="2">
        <v>3</v>
      </c>
      <c r="H11" s="4" t="s">
        <v>721</v>
      </c>
      <c r="I11" s="2" t="s">
        <v>404</v>
      </c>
      <c r="J11" s="2">
        <v>5</v>
      </c>
      <c r="K11" s="2" t="s">
        <v>405</v>
      </c>
      <c r="L11" s="2" t="s">
        <v>406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8.5">
      <c r="A12" s="2" t="s">
        <v>45</v>
      </c>
      <c r="B12" s="2" t="str">
        <f>IFERROR(INDEX('01_Компании'!$B$4:$B$25,MATCH(A12,'01_Компании'!$A$4:$A$25,0)),"")</f>
        <v>PlantUML</v>
      </c>
      <c r="C12" s="2" t="s">
        <v>407</v>
      </c>
      <c r="D12" s="2" t="s">
        <v>408</v>
      </c>
      <c r="E12" s="2" t="s">
        <v>409</v>
      </c>
      <c r="F12" s="2" t="s">
        <v>246</v>
      </c>
      <c r="G12" s="2">
        <v>2</v>
      </c>
      <c r="H12" s="4" t="s">
        <v>721</v>
      </c>
      <c r="I12" s="2" t="s">
        <v>410</v>
      </c>
      <c r="J12" s="2">
        <v>4</v>
      </c>
      <c r="K12" s="2" t="s">
        <v>411</v>
      </c>
      <c r="L12" s="2" t="s">
        <v>412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42.75">
      <c r="A13" s="2" t="s">
        <v>45</v>
      </c>
      <c r="B13" s="2" t="str">
        <f>IFERROR(INDEX('01_Компании'!$B$4:$B$25,MATCH(A13,'01_Компании'!$A$4:$A$25,0)),"")</f>
        <v>PlantUML</v>
      </c>
      <c r="C13" s="2" t="s">
        <v>413</v>
      </c>
      <c r="D13" s="2" t="s">
        <v>367</v>
      </c>
      <c r="E13" s="2" t="s">
        <v>414</v>
      </c>
      <c r="F13" s="2" t="s">
        <v>236</v>
      </c>
      <c r="G13" s="2">
        <v>2</v>
      </c>
      <c r="H13" s="4" t="s">
        <v>721</v>
      </c>
      <c r="I13" s="2" t="s">
        <v>883</v>
      </c>
      <c r="J13" s="2">
        <v>3</v>
      </c>
      <c r="K13" s="2" t="s">
        <v>415</v>
      </c>
      <c r="L13" s="2" t="s">
        <v>416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8.5">
      <c r="A14" s="2" t="s">
        <v>45</v>
      </c>
      <c r="B14" s="2" t="str">
        <f>IFERROR(INDEX('01_Компании'!$B$4:$B$25,MATCH(A14,'01_Компании'!$A$4:$A$25,0)),"")</f>
        <v>PlantUML</v>
      </c>
      <c r="C14" s="2" t="s">
        <v>417</v>
      </c>
      <c r="D14" s="2" t="s">
        <v>418</v>
      </c>
      <c r="E14" s="2" t="s">
        <v>419</v>
      </c>
      <c r="F14" s="2" t="s">
        <v>247</v>
      </c>
      <c r="G14" s="2">
        <v>2</v>
      </c>
      <c r="H14" s="4" t="s">
        <v>721</v>
      </c>
      <c r="I14" s="2" t="s">
        <v>420</v>
      </c>
      <c r="J14" s="2">
        <v>3</v>
      </c>
      <c r="K14" s="2" t="s">
        <v>421</v>
      </c>
      <c r="L14" s="2" t="s">
        <v>422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42.75">
      <c r="A15" s="2" t="s">
        <v>46</v>
      </c>
      <c r="B15" s="2" t="str">
        <f>IFERROR(INDEX('01_Компании'!$B$4:$B$25,MATCH(A15,'01_Компании'!$A$4:$A$25,0)),"")</f>
        <v>Mermaid (библиотека)</v>
      </c>
      <c r="C15" s="2" t="s">
        <v>366</v>
      </c>
      <c r="D15" s="2" t="s">
        <v>423</v>
      </c>
      <c r="E15" s="2" t="s">
        <v>424</v>
      </c>
      <c r="F15" s="2" t="s">
        <v>233</v>
      </c>
      <c r="G15" s="2">
        <v>4</v>
      </c>
      <c r="H15" s="4" t="s">
        <v>721</v>
      </c>
      <c r="I15" s="2" t="s">
        <v>425</v>
      </c>
      <c r="J15" s="2">
        <v>4</v>
      </c>
      <c r="K15" s="2" t="s">
        <v>370</v>
      </c>
      <c r="L15" s="2" t="s">
        <v>371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42.75">
      <c r="A16" s="2" t="s">
        <v>46</v>
      </c>
      <c r="B16" s="2" t="str">
        <f>IFERROR(INDEX('01_Компании'!$B$4:$B$25,MATCH(A16,'01_Компании'!$A$4:$A$25,0)),"")</f>
        <v>Mermaid (библиотека)</v>
      </c>
      <c r="C16" s="2" t="s">
        <v>372</v>
      </c>
      <c r="D16" s="2" t="s">
        <v>373</v>
      </c>
      <c r="E16" s="2" t="s">
        <v>426</v>
      </c>
      <c r="F16" s="2" t="s">
        <v>246</v>
      </c>
      <c r="G16" s="2">
        <v>3</v>
      </c>
      <c r="H16" s="4" t="s">
        <v>721</v>
      </c>
      <c r="I16" s="2" t="s">
        <v>375</v>
      </c>
      <c r="J16" s="2">
        <v>3</v>
      </c>
      <c r="K16" s="2" t="s">
        <v>376</v>
      </c>
      <c r="L16" s="2" t="s">
        <v>377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8.5">
      <c r="A17" s="2" t="s">
        <v>46</v>
      </c>
      <c r="B17" s="2" t="str">
        <f>IFERROR(INDEX('01_Компании'!$B$4:$B$25,MATCH(A17,'01_Компании'!$A$4:$A$25,0)),"")</f>
        <v>Mermaid (библиотека)</v>
      </c>
      <c r="C17" s="2" t="s">
        <v>378</v>
      </c>
      <c r="D17" s="2" t="s">
        <v>373</v>
      </c>
      <c r="E17" s="2" t="s">
        <v>427</v>
      </c>
      <c r="F17" s="2" t="s">
        <v>243</v>
      </c>
      <c r="G17" s="2">
        <v>3</v>
      </c>
      <c r="H17" s="4" t="s">
        <v>721</v>
      </c>
      <c r="I17" s="2" t="s">
        <v>380</v>
      </c>
      <c r="J17" s="2">
        <v>3</v>
      </c>
      <c r="K17" s="2" t="s">
        <v>376</v>
      </c>
      <c r="L17" s="2" t="s">
        <v>381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8.5">
      <c r="A18" s="2" t="s">
        <v>46</v>
      </c>
      <c r="B18" s="2" t="str">
        <f>IFERROR(INDEX('01_Компании'!$B$4:$B$25,MATCH(A18,'01_Компании'!$A$4:$A$25,0)),"")</f>
        <v>Mermaid (библиотека)</v>
      </c>
      <c r="C18" s="2" t="s">
        <v>382</v>
      </c>
      <c r="D18" s="2" t="s">
        <v>373</v>
      </c>
      <c r="E18" s="2" t="s">
        <v>428</v>
      </c>
      <c r="F18" s="2" t="s">
        <v>245</v>
      </c>
      <c r="G18" s="2">
        <v>3</v>
      </c>
      <c r="H18" s="4" t="s">
        <v>721</v>
      </c>
      <c r="I18" s="2" t="s">
        <v>384</v>
      </c>
      <c r="J18" s="2">
        <v>3</v>
      </c>
      <c r="K18" s="2" t="s">
        <v>376</v>
      </c>
      <c r="L18" s="2" t="s">
        <v>385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8.5">
      <c r="A19" s="2" t="s">
        <v>46</v>
      </c>
      <c r="B19" s="2" t="str">
        <f>IFERROR(INDEX('01_Компании'!$B$4:$B$25,MATCH(A19,'01_Компании'!$A$4:$A$25,0)),"")</f>
        <v>Mermaid (библиотека)</v>
      </c>
      <c r="C19" s="2" t="s">
        <v>386</v>
      </c>
      <c r="D19" s="2" t="s">
        <v>387</v>
      </c>
      <c r="E19" s="2" t="s">
        <v>429</v>
      </c>
      <c r="F19" s="2" t="s">
        <v>245</v>
      </c>
      <c r="G19" s="2">
        <v>3</v>
      </c>
      <c r="H19" s="4" t="s">
        <v>721</v>
      </c>
      <c r="I19" s="2" t="s">
        <v>389</v>
      </c>
      <c r="J19" s="2">
        <v>4</v>
      </c>
      <c r="K19" s="2" t="s">
        <v>430</v>
      </c>
      <c r="L19" s="2" t="s">
        <v>391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8.5">
      <c r="A20" s="2" t="s">
        <v>46</v>
      </c>
      <c r="B20" s="2" t="str">
        <f>IFERROR(INDEX('01_Компании'!$B$4:$B$25,MATCH(A20,'01_Компании'!$A$4:$A$25,0)),"")</f>
        <v>Mermaid (библиотека)</v>
      </c>
      <c r="C20" s="2" t="s">
        <v>392</v>
      </c>
      <c r="D20" s="2" t="s">
        <v>423</v>
      </c>
      <c r="E20" s="2" t="s">
        <v>431</v>
      </c>
      <c r="F20" s="2" t="s">
        <v>239</v>
      </c>
      <c r="G20" s="2">
        <v>5</v>
      </c>
      <c r="H20" s="4" t="s">
        <v>721</v>
      </c>
      <c r="I20" s="2" t="s">
        <v>725</v>
      </c>
      <c r="J20" s="2">
        <v>4</v>
      </c>
      <c r="K20" s="2" t="s">
        <v>394</v>
      </c>
      <c r="L20" s="2" t="s">
        <v>395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42.75">
      <c r="A21" s="2" t="s">
        <v>46</v>
      </c>
      <c r="B21" s="2" t="str">
        <f>IFERROR(INDEX('01_Компании'!$B$4:$B$25,MATCH(A21,'01_Компании'!$A$4:$A$25,0)),"")</f>
        <v>Mermaid (библиотека)</v>
      </c>
      <c r="C21" s="2" t="s">
        <v>396</v>
      </c>
      <c r="D21" s="2" t="s">
        <v>432</v>
      </c>
      <c r="E21" s="2" t="s">
        <v>433</v>
      </c>
      <c r="F21" s="2" t="s">
        <v>246</v>
      </c>
      <c r="G21" s="2">
        <v>3</v>
      </c>
      <c r="H21" s="4" t="s">
        <v>721</v>
      </c>
      <c r="I21" s="2" t="s">
        <v>399</v>
      </c>
      <c r="J21" s="2">
        <v>3</v>
      </c>
      <c r="K21" s="2" t="s">
        <v>400</v>
      </c>
      <c r="L21" s="2" t="s">
        <v>401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57">
      <c r="A22" s="2" t="s">
        <v>46</v>
      </c>
      <c r="B22" s="2" t="str">
        <f>IFERROR(INDEX('01_Компании'!$B$4:$B$25,MATCH(A22,'01_Компании'!$A$4:$A$25,0)),"")</f>
        <v>Mermaid (библиотека)</v>
      </c>
      <c r="C22" s="2" t="s">
        <v>402</v>
      </c>
      <c r="D22" s="2" t="s">
        <v>434</v>
      </c>
      <c r="E22" s="2" t="s">
        <v>884</v>
      </c>
      <c r="F22" s="2" t="s">
        <v>246</v>
      </c>
      <c r="G22" s="2">
        <v>3</v>
      </c>
      <c r="H22" s="4" t="s">
        <v>721</v>
      </c>
      <c r="I22" s="2" t="s">
        <v>404</v>
      </c>
      <c r="J22" s="2">
        <v>5</v>
      </c>
      <c r="K22" s="2" t="s">
        <v>405</v>
      </c>
      <c r="L22" s="2" t="s">
        <v>406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8.5">
      <c r="A23" s="2" t="s">
        <v>46</v>
      </c>
      <c r="B23" s="2" t="str">
        <f>IFERROR(INDEX('01_Компании'!$B$4:$B$25,MATCH(A23,'01_Компании'!$A$4:$A$25,0)),"")</f>
        <v>Mermaid (библиотека)</v>
      </c>
      <c r="C23" s="2" t="s">
        <v>407</v>
      </c>
      <c r="D23" s="2" t="s">
        <v>435</v>
      </c>
      <c r="E23" s="2" t="s">
        <v>436</v>
      </c>
      <c r="F23" s="2" t="s">
        <v>246</v>
      </c>
      <c r="G23" s="2">
        <v>2</v>
      </c>
      <c r="H23" s="4" t="s">
        <v>721</v>
      </c>
      <c r="I23" s="2" t="s">
        <v>410</v>
      </c>
      <c r="J23" s="2">
        <v>4</v>
      </c>
      <c r="K23" s="2" t="s">
        <v>411</v>
      </c>
      <c r="L23" s="2" t="s">
        <v>412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42.75">
      <c r="A24" s="2" t="s">
        <v>46</v>
      </c>
      <c r="B24" s="2" t="str">
        <f>IFERROR(INDEX('01_Компании'!$B$4:$B$25,MATCH(A24,'01_Компании'!$A$4:$A$25,0)),"")</f>
        <v>Mermaid (библиотека)</v>
      </c>
      <c r="C24" s="2" t="s">
        <v>413</v>
      </c>
      <c r="D24" s="2" t="s">
        <v>423</v>
      </c>
      <c r="E24" s="2" t="s">
        <v>437</v>
      </c>
      <c r="F24" s="2" t="s">
        <v>236</v>
      </c>
      <c r="G24" s="2">
        <v>2</v>
      </c>
      <c r="H24" s="4" t="s">
        <v>721</v>
      </c>
      <c r="I24" s="2" t="s">
        <v>883</v>
      </c>
      <c r="J24" s="2">
        <v>3</v>
      </c>
      <c r="K24" s="2" t="s">
        <v>415</v>
      </c>
      <c r="L24" s="2" t="s">
        <v>416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8.5">
      <c r="A25" s="2" t="s">
        <v>46</v>
      </c>
      <c r="B25" s="2" t="str">
        <f>IFERROR(INDEX('01_Компании'!$B$4:$B$25,MATCH(A25,'01_Компании'!$A$4:$A$25,0)),"")</f>
        <v>Mermaid (библиотека)</v>
      </c>
      <c r="C25" s="2" t="s">
        <v>417</v>
      </c>
      <c r="D25" s="2" t="s">
        <v>418</v>
      </c>
      <c r="E25" s="2" t="s">
        <v>419</v>
      </c>
      <c r="F25" s="2" t="s">
        <v>247</v>
      </c>
      <c r="G25" s="2">
        <v>2</v>
      </c>
      <c r="H25" s="4" t="s">
        <v>721</v>
      </c>
      <c r="I25" s="2" t="s">
        <v>420</v>
      </c>
      <c r="J25" s="2">
        <v>3</v>
      </c>
      <c r="K25" s="2" t="s">
        <v>421</v>
      </c>
      <c r="L25" s="2" t="s">
        <v>422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8.5">
      <c r="A26" s="2" t="s">
        <v>47</v>
      </c>
      <c r="B26" s="2" t="str">
        <f>IFERROR(INDEX('01_Компании'!$B$4:$B$25,MATCH(A26,'01_Компании'!$A$4:$A$25,0)),"")</f>
        <v>Mermaid Chart</v>
      </c>
      <c r="C26" s="2" t="s">
        <v>366</v>
      </c>
      <c r="D26" s="2" t="s">
        <v>438</v>
      </c>
      <c r="E26" s="2" t="s">
        <v>439</v>
      </c>
      <c r="F26" s="2" t="s">
        <v>233</v>
      </c>
      <c r="G26" s="2">
        <v>4</v>
      </c>
      <c r="H26" s="4" t="s">
        <v>721</v>
      </c>
      <c r="I26" s="2" t="s">
        <v>885</v>
      </c>
      <c r="J26" s="2">
        <v>4</v>
      </c>
      <c r="K26" s="2" t="s">
        <v>370</v>
      </c>
      <c r="L26" s="2" t="s">
        <v>371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42.75">
      <c r="A27" s="2" t="s">
        <v>47</v>
      </c>
      <c r="B27" s="2" t="str">
        <f>IFERROR(INDEX('01_Компании'!$B$4:$B$25,MATCH(A27,'01_Компании'!$A$4:$A$25,0)),"")</f>
        <v>Mermaid Chart</v>
      </c>
      <c r="C27" s="2" t="s">
        <v>372</v>
      </c>
      <c r="D27" s="2" t="s">
        <v>373</v>
      </c>
      <c r="E27" s="2" t="s">
        <v>440</v>
      </c>
      <c r="F27" s="2" t="s">
        <v>246</v>
      </c>
      <c r="G27" s="2">
        <v>3</v>
      </c>
      <c r="H27" s="4" t="s">
        <v>721</v>
      </c>
      <c r="I27" s="2" t="s">
        <v>375</v>
      </c>
      <c r="J27" s="2">
        <v>3</v>
      </c>
      <c r="K27" s="2" t="s">
        <v>376</v>
      </c>
      <c r="L27" s="2" t="s">
        <v>377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8.5">
      <c r="A28" s="2" t="s">
        <v>47</v>
      </c>
      <c r="B28" s="2" t="str">
        <f>IFERROR(INDEX('01_Компании'!$B$4:$B$25,MATCH(A28,'01_Компании'!$A$4:$A$25,0)),"")</f>
        <v>Mermaid Chart</v>
      </c>
      <c r="C28" s="2" t="s">
        <v>378</v>
      </c>
      <c r="D28" s="2" t="s">
        <v>373</v>
      </c>
      <c r="E28" s="2" t="s">
        <v>441</v>
      </c>
      <c r="F28" s="2" t="s">
        <v>243</v>
      </c>
      <c r="G28" s="2">
        <v>3</v>
      </c>
      <c r="H28" s="4" t="s">
        <v>721</v>
      </c>
      <c r="I28" s="2" t="s">
        <v>380</v>
      </c>
      <c r="J28" s="2">
        <v>3</v>
      </c>
      <c r="K28" s="2" t="s">
        <v>376</v>
      </c>
      <c r="L28" s="2" t="s">
        <v>381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8.5">
      <c r="A29" s="2" t="s">
        <v>47</v>
      </c>
      <c r="B29" s="2" t="str">
        <f>IFERROR(INDEX('01_Компании'!$B$4:$B$25,MATCH(A29,'01_Компании'!$A$4:$A$25,0)),"")</f>
        <v>Mermaid Chart</v>
      </c>
      <c r="C29" s="2" t="s">
        <v>382</v>
      </c>
      <c r="D29" s="2" t="s">
        <v>373</v>
      </c>
      <c r="E29" s="2" t="s">
        <v>442</v>
      </c>
      <c r="F29" s="2" t="s">
        <v>245</v>
      </c>
      <c r="G29" s="2">
        <v>3</v>
      </c>
      <c r="H29" s="4" t="s">
        <v>721</v>
      </c>
      <c r="I29" s="2" t="s">
        <v>384</v>
      </c>
      <c r="J29" s="2">
        <v>3</v>
      </c>
      <c r="K29" s="2" t="s">
        <v>376</v>
      </c>
      <c r="L29" s="2" t="s">
        <v>385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8.5">
      <c r="A30" s="2" t="s">
        <v>47</v>
      </c>
      <c r="B30" s="2" t="str">
        <f>IFERROR(INDEX('01_Компании'!$B$4:$B$25,MATCH(A30,'01_Компании'!$A$4:$A$25,0)),"")</f>
        <v>Mermaid Chart</v>
      </c>
      <c r="C30" s="2" t="s">
        <v>386</v>
      </c>
      <c r="D30" s="2" t="s">
        <v>387</v>
      </c>
      <c r="E30" s="2" t="s">
        <v>443</v>
      </c>
      <c r="F30" s="2" t="s">
        <v>245</v>
      </c>
      <c r="G30" s="2">
        <v>3</v>
      </c>
      <c r="H30" s="4" t="s">
        <v>721</v>
      </c>
      <c r="I30" s="2" t="s">
        <v>389</v>
      </c>
      <c r="J30" s="2">
        <v>4</v>
      </c>
      <c r="K30" s="2" t="s">
        <v>390</v>
      </c>
      <c r="L30" s="2" t="s">
        <v>391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42.75">
      <c r="A31" s="2" t="s">
        <v>47</v>
      </c>
      <c r="B31" s="2" t="str">
        <f>IFERROR(INDEX('01_Компании'!$B$4:$B$25,MATCH(A31,'01_Компании'!$A$4:$A$25,0)),"")</f>
        <v>Mermaid Chart</v>
      </c>
      <c r="C31" s="2" t="s">
        <v>392</v>
      </c>
      <c r="D31" s="2" t="s">
        <v>444</v>
      </c>
      <c r="E31" s="2" t="s">
        <v>726</v>
      </c>
      <c r="F31" s="2" t="s">
        <v>239</v>
      </c>
      <c r="G31" s="2">
        <v>5</v>
      </c>
      <c r="H31" s="4" t="s">
        <v>721</v>
      </c>
      <c r="I31" s="2" t="s">
        <v>725</v>
      </c>
      <c r="J31" s="2">
        <v>4</v>
      </c>
      <c r="K31" s="2" t="s">
        <v>394</v>
      </c>
      <c r="L31" s="2" t="s">
        <v>395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8.5">
      <c r="A32" s="2" t="s">
        <v>47</v>
      </c>
      <c r="B32" s="2" t="str">
        <f>IFERROR(INDEX('01_Компании'!$B$4:$B$25,MATCH(A32,'01_Компании'!$A$4:$A$25,0)),"")</f>
        <v>Mermaid Chart</v>
      </c>
      <c r="C32" s="2" t="s">
        <v>396</v>
      </c>
      <c r="D32" s="2" t="s">
        <v>445</v>
      </c>
      <c r="E32" s="2" t="s">
        <v>446</v>
      </c>
      <c r="F32" s="2" t="s">
        <v>246</v>
      </c>
      <c r="G32" s="2">
        <v>3</v>
      </c>
      <c r="H32" s="4" t="s">
        <v>721</v>
      </c>
      <c r="I32" s="2" t="s">
        <v>399</v>
      </c>
      <c r="J32" s="2">
        <v>3</v>
      </c>
      <c r="K32" s="2" t="s">
        <v>400</v>
      </c>
      <c r="L32" s="2" t="s">
        <v>401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8.5">
      <c r="A33" s="2" t="s">
        <v>47</v>
      </c>
      <c r="B33" s="2" t="str">
        <f>IFERROR(INDEX('01_Компании'!$B$4:$B$25,MATCH(A33,'01_Компании'!$A$4:$A$25,0)),"")</f>
        <v>Mermaid Chart</v>
      </c>
      <c r="C33" s="2" t="s">
        <v>407</v>
      </c>
      <c r="D33" s="2" t="s">
        <v>447</v>
      </c>
      <c r="E33" s="2" t="s">
        <v>448</v>
      </c>
      <c r="F33" s="2" t="s">
        <v>246</v>
      </c>
      <c r="G33" s="2">
        <v>2</v>
      </c>
      <c r="H33" s="4" t="s">
        <v>721</v>
      </c>
      <c r="I33" s="2" t="s">
        <v>410</v>
      </c>
      <c r="J33" s="2">
        <v>4</v>
      </c>
      <c r="K33" s="2" t="s">
        <v>411</v>
      </c>
      <c r="L33" s="2" t="s">
        <v>412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42.75">
      <c r="A34" s="2" t="s">
        <v>47</v>
      </c>
      <c r="B34" s="2" t="str">
        <f>IFERROR(INDEX('01_Компании'!$B$4:$B$25,MATCH(A34,'01_Компании'!$A$4:$A$25,0)),"")</f>
        <v>Mermaid Chart</v>
      </c>
      <c r="C34" s="2" t="s">
        <v>413</v>
      </c>
      <c r="D34" s="2" t="s">
        <v>438</v>
      </c>
      <c r="E34" s="2" t="s">
        <v>449</v>
      </c>
      <c r="F34" s="2" t="s">
        <v>236</v>
      </c>
      <c r="G34" s="2">
        <v>2</v>
      </c>
      <c r="H34" s="4" t="s">
        <v>721</v>
      </c>
      <c r="I34" s="2" t="s">
        <v>883</v>
      </c>
      <c r="J34" s="2">
        <v>3</v>
      </c>
      <c r="K34" s="2" t="s">
        <v>415</v>
      </c>
      <c r="L34" s="2" t="s">
        <v>416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8.5">
      <c r="A35" s="2" t="s">
        <v>47</v>
      </c>
      <c r="B35" s="2" t="str">
        <f>IFERROR(INDEX('01_Компании'!$B$4:$B$25,MATCH(A35,'01_Компании'!$A$4:$A$25,0)),"")</f>
        <v>Mermaid Chart</v>
      </c>
      <c r="C35" s="2" t="s">
        <v>417</v>
      </c>
      <c r="D35" s="2" t="s">
        <v>418</v>
      </c>
      <c r="E35" s="2" t="s">
        <v>419</v>
      </c>
      <c r="F35" s="2" t="s">
        <v>247</v>
      </c>
      <c r="G35" s="2">
        <v>2</v>
      </c>
      <c r="H35" s="4" t="s">
        <v>721</v>
      </c>
      <c r="I35" s="2" t="s">
        <v>420</v>
      </c>
      <c r="J35" s="2">
        <v>3</v>
      </c>
      <c r="K35" s="2" t="s">
        <v>421</v>
      </c>
      <c r="L35" s="2" t="s">
        <v>422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8.5">
      <c r="A36" s="2" t="s">
        <v>48</v>
      </c>
      <c r="B36" s="2" t="str">
        <f>IFERROR(INDEX('01_Компании'!$B$4:$B$25,MATCH(A36,'01_Компании'!$A$4:$A$25,0)),"")</f>
        <v>D2 (Terrastruct)</v>
      </c>
      <c r="C36" s="2" t="s">
        <v>366</v>
      </c>
      <c r="D36" s="2" t="s">
        <v>450</v>
      </c>
      <c r="E36" s="2" t="s">
        <v>451</v>
      </c>
      <c r="F36" s="2" t="s">
        <v>233</v>
      </c>
      <c r="G36" s="2">
        <v>4</v>
      </c>
      <c r="H36" s="4" t="s">
        <v>721</v>
      </c>
      <c r="I36" s="2" t="s">
        <v>452</v>
      </c>
      <c r="J36" s="2">
        <v>4</v>
      </c>
      <c r="K36" s="2" t="s">
        <v>370</v>
      </c>
      <c r="L36" s="2" t="s">
        <v>371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42.75">
      <c r="A37" s="2" t="s">
        <v>48</v>
      </c>
      <c r="B37" s="2" t="str">
        <f>IFERROR(INDEX('01_Компании'!$B$4:$B$25,MATCH(A37,'01_Компании'!$A$4:$A$25,0)),"")</f>
        <v>D2 (Terrastruct)</v>
      </c>
      <c r="C37" s="2" t="s">
        <v>372</v>
      </c>
      <c r="D37" s="2" t="s">
        <v>373</v>
      </c>
      <c r="E37" s="2" t="s">
        <v>453</v>
      </c>
      <c r="F37" s="2" t="s">
        <v>246</v>
      </c>
      <c r="G37" s="2">
        <v>3</v>
      </c>
      <c r="H37" s="4" t="s">
        <v>721</v>
      </c>
      <c r="I37" s="2" t="s">
        <v>375</v>
      </c>
      <c r="J37" s="2">
        <v>3</v>
      </c>
      <c r="K37" s="2" t="s">
        <v>376</v>
      </c>
      <c r="L37" s="2" t="s">
        <v>377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8.5">
      <c r="A38" s="2" t="s">
        <v>48</v>
      </c>
      <c r="B38" s="2" t="str">
        <f>IFERROR(INDEX('01_Компании'!$B$4:$B$25,MATCH(A38,'01_Компании'!$A$4:$A$25,0)),"")</f>
        <v>D2 (Terrastruct)</v>
      </c>
      <c r="C38" s="2" t="s">
        <v>378</v>
      </c>
      <c r="D38" s="2" t="s">
        <v>373</v>
      </c>
      <c r="E38" s="2" t="s">
        <v>454</v>
      </c>
      <c r="F38" s="2" t="s">
        <v>243</v>
      </c>
      <c r="G38" s="2">
        <v>3</v>
      </c>
      <c r="H38" s="4" t="s">
        <v>721</v>
      </c>
      <c r="I38" s="2" t="s">
        <v>380</v>
      </c>
      <c r="J38" s="2">
        <v>3</v>
      </c>
      <c r="K38" s="2" t="s">
        <v>376</v>
      </c>
      <c r="L38" s="2" t="s">
        <v>381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8.5">
      <c r="A39" s="2" t="s">
        <v>48</v>
      </c>
      <c r="B39" s="2" t="str">
        <f>IFERROR(INDEX('01_Компании'!$B$4:$B$25,MATCH(A39,'01_Компании'!$A$4:$A$25,0)),"")</f>
        <v>D2 (Terrastruct)</v>
      </c>
      <c r="C39" s="2" t="s">
        <v>382</v>
      </c>
      <c r="D39" s="2" t="s">
        <v>373</v>
      </c>
      <c r="E39" s="2" t="s">
        <v>455</v>
      </c>
      <c r="F39" s="2" t="s">
        <v>245</v>
      </c>
      <c r="G39" s="2">
        <v>3</v>
      </c>
      <c r="H39" s="4" t="s">
        <v>721</v>
      </c>
      <c r="I39" s="2" t="s">
        <v>384</v>
      </c>
      <c r="J39" s="2">
        <v>3</v>
      </c>
      <c r="K39" s="2" t="s">
        <v>376</v>
      </c>
      <c r="L39" s="2" t="s">
        <v>385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8.5">
      <c r="A40" s="2" t="s">
        <v>48</v>
      </c>
      <c r="B40" s="2" t="str">
        <f>IFERROR(INDEX('01_Компании'!$B$4:$B$25,MATCH(A40,'01_Компании'!$A$4:$A$25,0)),"")</f>
        <v>D2 (Terrastruct)</v>
      </c>
      <c r="C40" s="2" t="s">
        <v>386</v>
      </c>
      <c r="D40" s="2" t="s">
        <v>387</v>
      </c>
      <c r="E40" s="2" t="s">
        <v>456</v>
      </c>
      <c r="F40" s="2" t="s">
        <v>245</v>
      </c>
      <c r="G40" s="2">
        <v>3</v>
      </c>
      <c r="H40" s="4" t="s">
        <v>721</v>
      </c>
      <c r="I40" s="2" t="s">
        <v>389</v>
      </c>
      <c r="J40" s="2">
        <v>4</v>
      </c>
      <c r="K40" s="2" t="s">
        <v>390</v>
      </c>
      <c r="L40" s="2" t="s">
        <v>391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8.5">
      <c r="A41" s="2" t="s">
        <v>48</v>
      </c>
      <c r="B41" s="2" t="str">
        <f>IFERROR(INDEX('01_Компании'!$B$4:$B$25,MATCH(A41,'01_Компании'!$A$4:$A$25,0)),"")</f>
        <v>D2 (Terrastruct)</v>
      </c>
      <c r="C41" s="2" t="s">
        <v>402</v>
      </c>
      <c r="D41" s="2" t="s">
        <v>457</v>
      </c>
      <c r="E41" s="2" t="s">
        <v>886</v>
      </c>
      <c r="F41" s="2" t="s">
        <v>246</v>
      </c>
      <c r="G41" s="2">
        <v>3</v>
      </c>
      <c r="H41" s="4" t="s">
        <v>721</v>
      </c>
      <c r="I41" s="2" t="s">
        <v>404</v>
      </c>
      <c r="J41" s="2">
        <v>5</v>
      </c>
      <c r="K41" s="2" t="s">
        <v>405</v>
      </c>
      <c r="L41" s="2" t="s">
        <v>406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8.5">
      <c r="A42" s="2" t="s">
        <v>48</v>
      </c>
      <c r="B42" s="2" t="str">
        <f>IFERROR(INDEX('01_Компании'!$B$4:$B$25,MATCH(A42,'01_Компании'!$A$4:$A$25,0)),"")</f>
        <v>D2 (Terrastruct)</v>
      </c>
      <c r="C42" s="2" t="s">
        <v>407</v>
      </c>
      <c r="D42" s="2" t="s">
        <v>458</v>
      </c>
      <c r="E42" s="2" t="s">
        <v>459</v>
      </c>
      <c r="F42" s="2" t="s">
        <v>246</v>
      </c>
      <c r="G42" s="2">
        <v>2</v>
      </c>
      <c r="H42" s="4" t="s">
        <v>721</v>
      </c>
      <c r="I42" s="2" t="s">
        <v>410</v>
      </c>
      <c r="J42" s="2">
        <v>4</v>
      </c>
      <c r="K42" s="2" t="s">
        <v>411</v>
      </c>
      <c r="L42" s="2" t="s">
        <v>412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42.75">
      <c r="A43" s="2" t="s">
        <v>48</v>
      </c>
      <c r="B43" s="2" t="str">
        <f>IFERROR(INDEX('01_Компании'!$B$4:$B$25,MATCH(A43,'01_Компании'!$A$4:$A$25,0)),"")</f>
        <v>D2 (Terrastruct)</v>
      </c>
      <c r="C43" s="2" t="s">
        <v>413</v>
      </c>
      <c r="D43" s="2" t="s">
        <v>450</v>
      </c>
      <c r="E43" s="2" t="s">
        <v>414</v>
      </c>
      <c r="F43" s="2" t="s">
        <v>236</v>
      </c>
      <c r="G43" s="2">
        <v>2</v>
      </c>
      <c r="H43" s="4" t="s">
        <v>721</v>
      </c>
      <c r="I43" s="2" t="s">
        <v>883</v>
      </c>
      <c r="J43" s="2">
        <v>3</v>
      </c>
      <c r="K43" s="2" t="s">
        <v>415</v>
      </c>
      <c r="L43" s="2" t="s">
        <v>416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8.5">
      <c r="A44" s="2" t="s">
        <v>48</v>
      </c>
      <c r="B44" s="2" t="str">
        <f>IFERROR(INDEX('01_Компании'!$B$4:$B$25,MATCH(A44,'01_Компании'!$A$4:$A$25,0)),"")</f>
        <v>D2 (Terrastruct)</v>
      </c>
      <c r="C44" s="2" t="s">
        <v>417</v>
      </c>
      <c r="D44" s="2" t="s">
        <v>418</v>
      </c>
      <c r="E44" s="2" t="s">
        <v>419</v>
      </c>
      <c r="F44" s="2" t="s">
        <v>247</v>
      </c>
      <c r="G44" s="2">
        <v>2</v>
      </c>
      <c r="H44" s="4" t="s">
        <v>721</v>
      </c>
      <c r="I44" s="2" t="s">
        <v>420</v>
      </c>
      <c r="J44" s="2">
        <v>3</v>
      </c>
      <c r="K44" s="2" t="s">
        <v>421</v>
      </c>
      <c r="L44" s="2" t="s">
        <v>422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42.75">
      <c r="A45" s="2" t="s">
        <v>49</v>
      </c>
      <c r="B45" s="2" t="str">
        <f>IFERROR(INDEX('01_Компании'!$B$4:$B$25,MATCH(A45,'01_Компании'!$A$4:$A$25,0)),"")</f>
        <v>Kroki</v>
      </c>
      <c r="C45" s="2" t="s">
        <v>366</v>
      </c>
      <c r="D45" s="2" t="s">
        <v>460</v>
      </c>
      <c r="E45" s="2" t="s">
        <v>461</v>
      </c>
      <c r="F45" s="2" t="s">
        <v>233</v>
      </c>
      <c r="G45" s="2">
        <v>4</v>
      </c>
      <c r="H45" s="4" t="s">
        <v>721</v>
      </c>
      <c r="I45" s="2" t="s">
        <v>462</v>
      </c>
      <c r="J45" s="2">
        <v>4</v>
      </c>
      <c r="K45" s="2" t="s">
        <v>370</v>
      </c>
      <c r="L45" s="2" t="s">
        <v>371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42.75">
      <c r="A46" s="2" t="s">
        <v>49</v>
      </c>
      <c r="B46" s="2" t="str">
        <f>IFERROR(INDEX('01_Компании'!$B$4:$B$25,MATCH(A46,'01_Компании'!$A$4:$A$25,0)),"")</f>
        <v>Kroki</v>
      </c>
      <c r="C46" s="2" t="s">
        <v>372</v>
      </c>
      <c r="D46" s="2" t="s">
        <v>373</v>
      </c>
      <c r="E46" s="2" t="s">
        <v>463</v>
      </c>
      <c r="F46" s="2" t="s">
        <v>246</v>
      </c>
      <c r="G46" s="2">
        <v>3</v>
      </c>
      <c r="H46" s="4" t="s">
        <v>721</v>
      </c>
      <c r="I46" s="2" t="s">
        <v>375</v>
      </c>
      <c r="J46" s="2">
        <v>3</v>
      </c>
      <c r="K46" s="2" t="s">
        <v>376</v>
      </c>
      <c r="L46" s="2" t="s">
        <v>377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8.5">
      <c r="A47" s="2" t="s">
        <v>49</v>
      </c>
      <c r="B47" s="2" t="str">
        <f>IFERROR(INDEX('01_Компании'!$B$4:$B$25,MATCH(A47,'01_Компании'!$A$4:$A$25,0)),"")</f>
        <v>Kroki</v>
      </c>
      <c r="C47" s="2" t="s">
        <v>378</v>
      </c>
      <c r="D47" s="2" t="s">
        <v>373</v>
      </c>
      <c r="E47" s="2" t="s">
        <v>464</v>
      </c>
      <c r="F47" s="2" t="s">
        <v>243</v>
      </c>
      <c r="G47" s="2">
        <v>3</v>
      </c>
      <c r="H47" s="4" t="s">
        <v>721</v>
      </c>
      <c r="I47" s="2" t="s">
        <v>380</v>
      </c>
      <c r="J47" s="2">
        <v>3</v>
      </c>
      <c r="K47" s="2" t="s">
        <v>376</v>
      </c>
      <c r="L47" s="2" t="s">
        <v>381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8.5">
      <c r="A48" s="2" t="s">
        <v>49</v>
      </c>
      <c r="B48" s="2" t="str">
        <f>IFERROR(INDEX('01_Компании'!$B$4:$B$25,MATCH(A48,'01_Компании'!$A$4:$A$25,0)),"")</f>
        <v>Kroki</v>
      </c>
      <c r="C48" s="2" t="s">
        <v>382</v>
      </c>
      <c r="D48" s="2" t="s">
        <v>373</v>
      </c>
      <c r="E48" s="2" t="s">
        <v>465</v>
      </c>
      <c r="F48" s="2" t="s">
        <v>245</v>
      </c>
      <c r="G48" s="2">
        <v>3</v>
      </c>
      <c r="H48" s="4" t="s">
        <v>721</v>
      </c>
      <c r="I48" s="2" t="s">
        <v>384</v>
      </c>
      <c r="J48" s="2">
        <v>3</v>
      </c>
      <c r="K48" s="2" t="s">
        <v>376</v>
      </c>
      <c r="L48" s="2" t="s">
        <v>385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8.5">
      <c r="A49" s="2" t="s">
        <v>49</v>
      </c>
      <c r="B49" s="2" t="str">
        <f>IFERROR(INDEX('01_Компании'!$B$4:$B$25,MATCH(A49,'01_Компании'!$A$4:$A$25,0)),"")</f>
        <v>Kroki</v>
      </c>
      <c r="C49" s="2" t="s">
        <v>386</v>
      </c>
      <c r="D49" s="2" t="s">
        <v>387</v>
      </c>
      <c r="E49" s="2" t="s">
        <v>466</v>
      </c>
      <c r="F49" s="2" t="s">
        <v>245</v>
      </c>
      <c r="G49" s="2">
        <v>3</v>
      </c>
      <c r="H49" s="4" t="s">
        <v>721</v>
      </c>
      <c r="I49" s="2" t="s">
        <v>389</v>
      </c>
      <c r="J49" s="2">
        <v>4</v>
      </c>
      <c r="K49" s="2" t="s">
        <v>390</v>
      </c>
      <c r="L49" s="2" t="s">
        <v>391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8.5">
      <c r="A50" s="2" t="s">
        <v>49</v>
      </c>
      <c r="B50" s="2" t="str">
        <f>IFERROR(INDEX('01_Компании'!$B$4:$B$25,MATCH(A50,'01_Компании'!$A$4:$A$25,0)),"")</f>
        <v>Kroki</v>
      </c>
      <c r="C50" s="2" t="s">
        <v>402</v>
      </c>
      <c r="D50" s="2" t="s">
        <v>467</v>
      </c>
      <c r="E50" s="2" t="s">
        <v>887</v>
      </c>
      <c r="F50" s="2" t="s">
        <v>246</v>
      </c>
      <c r="G50" s="2">
        <v>3</v>
      </c>
      <c r="H50" s="4" t="s">
        <v>721</v>
      </c>
      <c r="I50" s="2" t="s">
        <v>404</v>
      </c>
      <c r="J50" s="2">
        <v>5</v>
      </c>
      <c r="K50" s="2" t="s">
        <v>405</v>
      </c>
      <c r="L50" s="2" t="s">
        <v>406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8.5">
      <c r="A51" s="2" t="s">
        <v>49</v>
      </c>
      <c r="B51" s="2" t="str">
        <f>IFERROR(INDEX('01_Компании'!$B$4:$B$25,MATCH(A51,'01_Компании'!$A$4:$A$25,0)),"")</f>
        <v>Kroki</v>
      </c>
      <c r="C51" s="2" t="s">
        <v>407</v>
      </c>
      <c r="D51" s="2" t="s">
        <v>468</v>
      </c>
      <c r="E51" s="2" t="s">
        <v>469</v>
      </c>
      <c r="F51" s="2" t="s">
        <v>246</v>
      </c>
      <c r="G51" s="2">
        <v>2</v>
      </c>
      <c r="H51" s="4" t="s">
        <v>721</v>
      </c>
      <c r="I51" s="2" t="s">
        <v>410</v>
      </c>
      <c r="J51" s="2">
        <v>4</v>
      </c>
      <c r="K51" s="2" t="s">
        <v>411</v>
      </c>
      <c r="L51" s="2" t="s">
        <v>412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42.75">
      <c r="A52" s="2" t="s">
        <v>49</v>
      </c>
      <c r="B52" s="2" t="str">
        <f>IFERROR(INDEX('01_Компании'!$B$4:$B$25,MATCH(A52,'01_Компании'!$A$4:$A$25,0)),"")</f>
        <v>Kroki</v>
      </c>
      <c r="C52" s="2" t="s">
        <v>413</v>
      </c>
      <c r="D52" s="2" t="s">
        <v>460</v>
      </c>
      <c r="E52" s="2" t="s">
        <v>470</v>
      </c>
      <c r="F52" s="2" t="s">
        <v>236</v>
      </c>
      <c r="G52" s="2">
        <v>2</v>
      </c>
      <c r="H52" s="4" t="s">
        <v>721</v>
      </c>
      <c r="I52" s="2" t="s">
        <v>883</v>
      </c>
      <c r="J52" s="2">
        <v>3</v>
      </c>
      <c r="K52" s="2" t="s">
        <v>415</v>
      </c>
      <c r="L52" s="2" t="s">
        <v>416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57">
      <c r="A53" s="2" t="s">
        <v>50</v>
      </c>
      <c r="B53" s="2" t="str">
        <f>IFERROR(INDEX('01_Компании'!$B$4:$B$25,MATCH(A53,'01_Компании'!$A$4:$A$25,0)),"")</f>
        <v>PlantText</v>
      </c>
      <c r="C53" s="2" t="s">
        <v>366</v>
      </c>
      <c r="D53" s="2" t="s">
        <v>471</v>
      </c>
      <c r="E53" s="2" t="s">
        <v>472</v>
      </c>
      <c r="F53" s="2" t="s">
        <v>233</v>
      </c>
      <c r="G53" s="2">
        <v>4</v>
      </c>
      <c r="H53" s="4" t="s">
        <v>721</v>
      </c>
      <c r="I53" s="2" t="s">
        <v>473</v>
      </c>
      <c r="J53" s="2">
        <v>4</v>
      </c>
      <c r="K53" s="2" t="s">
        <v>370</v>
      </c>
      <c r="L53" s="2" t="s">
        <v>371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42.75">
      <c r="A54" s="2" t="s">
        <v>50</v>
      </c>
      <c r="B54" s="2" t="str">
        <f>IFERROR(INDEX('01_Компании'!$B$4:$B$25,MATCH(A54,'01_Компании'!$A$4:$A$25,0)),"")</f>
        <v>PlantText</v>
      </c>
      <c r="C54" s="2" t="s">
        <v>372</v>
      </c>
      <c r="D54" s="2" t="s">
        <v>373</v>
      </c>
      <c r="E54" s="2" t="s">
        <v>474</v>
      </c>
      <c r="F54" s="2" t="s">
        <v>246</v>
      </c>
      <c r="G54" s="2">
        <v>3</v>
      </c>
      <c r="H54" s="4" t="s">
        <v>721</v>
      </c>
      <c r="I54" s="2" t="s">
        <v>375</v>
      </c>
      <c r="J54" s="2">
        <v>3</v>
      </c>
      <c r="K54" s="2" t="s">
        <v>376</v>
      </c>
      <c r="L54" s="2" t="s">
        <v>377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8.5">
      <c r="A55" s="2" t="s">
        <v>50</v>
      </c>
      <c r="B55" s="2" t="str">
        <f>IFERROR(INDEX('01_Компании'!$B$4:$B$25,MATCH(A55,'01_Компании'!$A$4:$A$25,0)),"")</f>
        <v>PlantText</v>
      </c>
      <c r="C55" s="2" t="s">
        <v>378</v>
      </c>
      <c r="D55" s="2" t="s">
        <v>373</v>
      </c>
      <c r="E55" s="2" t="s">
        <v>475</v>
      </c>
      <c r="F55" s="2" t="s">
        <v>243</v>
      </c>
      <c r="G55" s="2">
        <v>3</v>
      </c>
      <c r="H55" s="4" t="s">
        <v>721</v>
      </c>
      <c r="I55" s="2" t="s">
        <v>380</v>
      </c>
      <c r="J55" s="2">
        <v>3</v>
      </c>
      <c r="K55" s="2" t="s">
        <v>376</v>
      </c>
      <c r="L55" s="2" t="s">
        <v>381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8.5">
      <c r="A56" s="2" t="s">
        <v>50</v>
      </c>
      <c r="B56" s="2" t="str">
        <f>IFERROR(INDEX('01_Компании'!$B$4:$B$25,MATCH(A56,'01_Компании'!$A$4:$A$25,0)),"")</f>
        <v>PlantText</v>
      </c>
      <c r="C56" s="2" t="s">
        <v>382</v>
      </c>
      <c r="D56" s="2" t="s">
        <v>373</v>
      </c>
      <c r="E56" s="2" t="s">
        <v>476</v>
      </c>
      <c r="F56" s="2" t="s">
        <v>245</v>
      </c>
      <c r="G56" s="2">
        <v>3</v>
      </c>
      <c r="H56" s="4" t="s">
        <v>721</v>
      </c>
      <c r="I56" s="2" t="s">
        <v>384</v>
      </c>
      <c r="J56" s="2">
        <v>3</v>
      </c>
      <c r="K56" s="2" t="s">
        <v>376</v>
      </c>
      <c r="L56" s="2" t="s">
        <v>385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8.5">
      <c r="A57" s="2" t="s">
        <v>50</v>
      </c>
      <c r="B57" s="2" t="str">
        <f>IFERROR(INDEX('01_Компании'!$B$4:$B$25,MATCH(A57,'01_Компании'!$A$4:$A$25,0)),"")</f>
        <v>PlantText</v>
      </c>
      <c r="C57" s="2" t="s">
        <v>386</v>
      </c>
      <c r="D57" s="2" t="s">
        <v>387</v>
      </c>
      <c r="E57" s="2" t="s">
        <v>477</v>
      </c>
      <c r="F57" s="2" t="s">
        <v>245</v>
      </c>
      <c r="G57" s="2">
        <v>3</v>
      </c>
      <c r="H57" s="4" t="s">
        <v>721</v>
      </c>
      <c r="I57" s="2" t="s">
        <v>389</v>
      </c>
      <c r="J57" s="2">
        <v>4</v>
      </c>
      <c r="K57" s="2" t="s">
        <v>390</v>
      </c>
      <c r="L57" s="2" t="s">
        <v>391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8.5">
      <c r="A58" s="2" t="s">
        <v>50</v>
      </c>
      <c r="B58" s="2" t="str">
        <f>IFERROR(INDEX('01_Компании'!$B$4:$B$25,MATCH(A58,'01_Компании'!$A$4:$A$25,0)),"")</f>
        <v>PlantText</v>
      </c>
      <c r="C58" s="2" t="s">
        <v>392</v>
      </c>
      <c r="D58" s="2" t="s">
        <v>471</v>
      </c>
      <c r="E58" s="2" t="s">
        <v>478</v>
      </c>
      <c r="F58" s="2" t="s">
        <v>239</v>
      </c>
      <c r="G58" s="2">
        <v>5</v>
      </c>
      <c r="H58" s="4" t="s">
        <v>721</v>
      </c>
      <c r="I58" s="2" t="s">
        <v>725</v>
      </c>
      <c r="J58" s="2">
        <v>4</v>
      </c>
      <c r="K58" s="2" t="s">
        <v>394</v>
      </c>
      <c r="L58" s="2" t="s">
        <v>395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8.5">
      <c r="A59" s="2" t="s">
        <v>50</v>
      </c>
      <c r="B59" s="2" t="str">
        <f>IFERROR(INDEX('01_Компании'!$B$4:$B$25,MATCH(A59,'01_Компании'!$A$4:$A$25,0)),"")</f>
        <v>PlantText</v>
      </c>
      <c r="C59" s="2" t="s">
        <v>407</v>
      </c>
      <c r="D59" s="2" t="s">
        <v>479</v>
      </c>
      <c r="E59" s="2" t="s">
        <v>480</v>
      </c>
      <c r="F59" s="2" t="s">
        <v>246</v>
      </c>
      <c r="G59" s="2">
        <v>2</v>
      </c>
      <c r="H59" s="4" t="s">
        <v>721</v>
      </c>
      <c r="I59" s="2" t="s">
        <v>410</v>
      </c>
      <c r="J59" s="2">
        <v>4</v>
      </c>
      <c r="K59" s="2" t="s">
        <v>411</v>
      </c>
      <c r="L59" s="2" t="s">
        <v>412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42.75">
      <c r="A60" s="2" t="s">
        <v>50</v>
      </c>
      <c r="B60" s="2" t="str">
        <f>IFERROR(INDEX('01_Компании'!$B$4:$B$25,MATCH(A60,'01_Компании'!$A$4:$A$25,0)),"")</f>
        <v>PlantText</v>
      </c>
      <c r="C60" s="2" t="s">
        <v>413</v>
      </c>
      <c r="D60" s="2" t="s">
        <v>471</v>
      </c>
      <c r="E60" s="2" t="s">
        <v>481</v>
      </c>
      <c r="F60" s="2" t="s">
        <v>236</v>
      </c>
      <c r="G60" s="2">
        <v>2</v>
      </c>
      <c r="H60" s="4" t="s">
        <v>721</v>
      </c>
      <c r="I60" s="2" t="s">
        <v>883</v>
      </c>
      <c r="J60" s="2">
        <v>3</v>
      </c>
      <c r="K60" s="2" t="s">
        <v>415</v>
      </c>
      <c r="L60" s="2" t="s">
        <v>416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8.5">
      <c r="A61" s="2" t="s">
        <v>50</v>
      </c>
      <c r="B61" s="2" t="str">
        <f>IFERROR(INDEX('01_Компании'!$B$4:$B$25,MATCH(A61,'01_Компании'!$A$4:$A$25,0)),"")</f>
        <v>PlantText</v>
      </c>
      <c r="C61" s="2" t="s">
        <v>417</v>
      </c>
      <c r="D61" s="2" t="s">
        <v>418</v>
      </c>
      <c r="E61" s="2" t="s">
        <v>419</v>
      </c>
      <c r="F61" s="2" t="s">
        <v>247</v>
      </c>
      <c r="G61" s="2">
        <v>2</v>
      </c>
      <c r="H61" s="4" t="s">
        <v>721</v>
      </c>
      <c r="I61" s="2" t="s">
        <v>420</v>
      </c>
      <c r="J61" s="2">
        <v>3</v>
      </c>
      <c r="K61" s="2" t="s">
        <v>421</v>
      </c>
      <c r="L61" s="2" t="s">
        <v>422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8.5">
      <c r="A62" s="2" t="s">
        <v>51</v>
      </c>
      <c r="B62" s="2" t="str">
        <f>IFERROR(INDEX('01_Компании'!$B$4:$B$25,MATCH(A62,'01_Компании'!$A$4:$A$25,0)),"")</f>
        <v>StarUML</v>
      </c>
      <c r="C62" s="2" t="s">
        <v>366</v>
      </c>
      <c r="D62" s="2" t="s">
        <v>482</v>
      </c>
      <c r="E62" s="2" t="s">
        <v>483</v>
      </c>
      <c r="F62" s="2" t="s">
        <v>233</v>
      </c>
      <c r="G62" s="2">
        <v>4</v>
      </c>
      <c r="H62" s="4" t="s">
        <v>721</v>
      </c>
      <c r="I62" s="2" t="s">
        <v>484</v>
      </c>
      <c r="J62" s="2">
        <v>4</v>
      </c>
      <c r="K62" s="2" t="s">
        <v>370</v>
      </c>
      <c r="L62" s="2" t="s">
        <v>371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42.75">
      <c r="A63" s="2" t="s">
        <v>51</v>
      </c>
      <c r="B63" s="2" t="str">
        <f>IFERROR(INDEX('01_Компании'!$B$4:$B$25,MATCH(A63,'01_Компании'!$A$4:$A$25,0)),"")</f>
        <v>StarUML</v>
      </c>
      <c r="C63" s="2" t="s">
        <v>372</v>
      </c>
      <c r="D63" s="2" t="s">
        <v>373</v>
      </c>
      <c r="E63" s="2" t="s">
        <v>485</v>
      </c>
      <c r="F63" s="2" t="s">
        <v>246</v>
      </c>
      <c r="G63" s="2">
        <v>3</v>
      </c>
      <c r="H63" s="4" t="s">
        <v>721</v>
      </c>
      <c r="I63" s="2" t="s">
        <v>375</v>
      </c>
      <c r="J63" s="2">
        <v>3</v>
      </c>
      <c r="K63" s="2" t="s">
        <v>376</v>
      </c>
      <c r="L63" s="2" t="s">
        <v>377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8.5">
      <c r="A64" s="2" t="s">
        <v>51</v>
      </c>
      <c r="B64" s="2" t="str">
        <f>IFERROR(INDEX('01_Компании'!$B$4:$B$25,MATCH(A64,'01_Компании'!$A$4:$A$25,0)),"")</f>
        <v>StarUML</v>
      </c>
      <c r="C64" s="2" t="s">
        <v>378</v>
      </c>
      <c r="D64" s="2" t="s">
        <v>373</v>
      </c>
      <c r="E64" s="2" t="s">
        <v>486</v>
      </c>
      <c r="F64" s="2" t="s">
        <v>243</v>
      </c>
      <c r="G64" s="2">
        <v>3</v>
      </c>
      <c r="H64" s="4" t="s">
        <v>721</v>
      </c>
      <c r="I64" s="2" t="s">
        <v>380</v>
      </c>
      <c r="J64" s="2">
        <v>3</v>
      </c>
      <c r="K64" s="2" t="s">
        <v>376</v>
      </c>
      <c r="L64" s="2" t="s">
        <v>381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8.5">
      <c r="A65" s="2" t="s">
        <v>51</v>
      </c>
      <c r="B65" s="2" t="str">
        <f>IFERROR(INDEX('01_Компании'!$B$4:$B$25,MATCH(A65,'01_Компании'!$A$4:$A$25,0)),"")</f>
        <v>StarUML</v>
      </c>
      <c r="C65" s="2" t="s">
        <v>382</v>
      </c>
      <c r="D65" s="2" t="s">
        <v>373</v>
      </c>
      <c r="E65" s="2" t="s">
        <v>487</v>
      </c>
      <c r="F65" s="2" t="s">
        <v>245</v>
      </c>
      <c r="G65" s="2">
        <v>3</v>
      </c>
      <c r="H65" s="4" t="s">
        <v>721</v>
      </c>
      <c r="I65" s="2" t="s">
        <v>384</v>
      </c>
      <c r="J65" s="2">
        <v>3</v>
      </c>
      <c r="K65" s="2" t="s">
        <v>376</v>
      </c>
      <c r="L65" s="2" t="s">
        <v>385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8.5">
      <c r="A66" s="2" t="s">
        <v>51</v>
      </c>
      <c r="B66" s="2" t="str">
        <f>IFERROR(INDEX('01_Компании'!$B$4:$B$25,MATCH(A66,'01_Компании'!$A$4:$A$25,0)),"")</f>
        <v>StarUML</v>
      </c>
      <c r="C66" s="2" t="s">
        <v>386</v>
      </c>
      <c r="D66" s="2" t="s">
        <v>387</v>
      </c>
      <c r="E66" s="2" t="s">
        <v>488</v>
      </c>
      <c r="F66" s="2" t="s">
        <v>245</v>
      </c>
      <c r="G66" s="2">
        <v>3</v>
      </c>
      <c r="H66" s="4" t="s">
        <v>721</v>
      </c>
      <c r="I66" s="2" t="s">
        <v>389</v>
      </c>
      <c r="J66" s="2">
        <v>4</v>
      </c>
      <c r="K66" s="2" t="s">
        <v>430</v>
      </c>
      <c r="L66" s="2" t="s">
        <v>391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8.5">
      <c r="A67" s="2" t="s">
        <v>51</v>
      </c>
      <c r="B67" s="2" t="str">
        <f>IFERROR(INDEX('01_Компании'!$B$4:$B$25,MATCH(A67,'01_Компании'!$A$4:$A$25,0)),"")</f>
        <v>StarUML</v>
      </c>
      <c r="C67" s="2" t="s">
        <v>407</v>
      </c>
      <c r="D67" s="2" t="s">
        <v>489</v>
      </c>
      <c r="E67" s="2" t="s">
        <v>490</v>
      </c>
      <c r="F67" s="2" t="s">
        <v>246</v>
      </c>
      <c r="G67" s="2">
        <v>2</v>
      </c>
      <c r="H67" s="4" t="s">
        <v>721</v>
      </c>
      <c r="I67" s="2" t="s">
        <v>410</v>
      </c>
      <c r="J67" s="2">
        <v>4</v>
      </c>
      <c r="K67" s="2" t="s">
        <v>411</v>
      </c>
      <c r="L67" s="2" t="s">
        <v>412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42.75">
      <c r="A68" s="2" t="s">
        <v>51</v>
      </c>
      <c r="B68" s="2" t="str">
        <f>IFERROR(INDEX('01_Компании'!$B$4:$B$25,MATCH(A68,'01_Компании'!$A$4:$A$25,0)),"")</f>
        <v>StarUML</v>
      </c>
      <c r="C68" s="2" t="s">
        <v>413</v>
      </c>
      <c r="D68" s="2" t="s">
        <v>482</v>
      </c>
      <c r="E68" s="2" t="s">
        <v>491</v>
      </c>
      <c r="F68" s="2" t="s">
        <v>236</v>
      </c>
      <c r="G68" s="2">
        <v>2</v>
      </c>
      <c r="H68" s="4" t="s">
        <v>721</v>
      </c>
      <c r="I68" s="2" t="s">
        <v>883</v>
      </c>
      <c r="J68" s="2">
        <v>3</v>
      </c>
      <c r="K68" s="2" t="s">
        <v>415</v>
      </c>
      <c r="L68" s="2" t="s">
        <v>416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57">
      <c r="A69" s="2" t="s">
        <v>52</v>
      </c>
      <c r="B69" s="2" t="str">
        <f>IFERROR(INDEX('01_Компании'!$B$4:$B$25,MATCH(A69,'01_Компании'!$A$4:$A$25,0)),"")</f>
        <v>Visual Paradigm</v>
      </c>
      <c r="C69" s="2" t="s">
        <v>366</v>
      </c>
      <c r="D69" s="2" t="s">
        <v>492</v>
      </c>
      <c r="E69" s="2" t="s">
        <v>493</v>
      </c>
      <c r="F69" s="2" t="s">
        <v>233</v>
      </c>
      <c r="G69" s="2">
        <v>4</v>
      </c>
      <c r="H69" s="4" t="s">
        <v>721</v>
      </c>
      <c r="I69" s="2" t="s">
        <v>494</v>
      </c>
      <c r="J69" s="2">
        <v>4</v>
      </c>
      <c r="K69" s="2" t="s">
        <v>370</v>
      </c>
      <c r="L69" s="2" t="s">
        <v>371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42.75">
      <c r="A70" s="2" t="s">
        <v>52</v>
      </c>
      <c r="B70" s="2" t="str">
        <f>IFERROR(INDEX('01_Компании'!$B$4:$B$25,MATCH(A70,'01_Компании'!$A$4:$A$25,0)),"")</f>
        <v>Visual Paradigm</v>
      </c>
      <c r="C70" s="2" t="s">
        <v>372</v>
      </c>
      <c r="D70" s="2" t="s">
        <v>373</v>
      </c>
      <c r="E70" s="2" t="s">
        <v>495</v>
      </c>
      <c r="F70" s="2" t="s">
        <v>246</v>
      </c>
      <c r="G70" s="2">
        <v>3</v>
      </c>
      <c r="H70" s="4" t="s">
        <v>721</v>
      </c>
      <c r="I70" s="2" t="s">
        <v>375</v>
      </c>
      <c r="J70" s="2">
        <v>3</v>
      </c>
      <c r="K70" s="2" t="s">
        <v>376</v>
      </c>
      <c r="L70" s="2" t="s">
        <v>377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8.5">
      <c r="A71" s="2" t="s">
        <v>52</v>
      </c>
      <c r="B71" s="2" t="str">
        <f>IFERROR(INDEX('01_Компании'!$B$4:$B$25,MATCH(A71,'01_Компании'!$A$4:$A$25,0)),"")</f>
        <v>Visual Paradigm</v>
      </c>
      <c r="C71" s="2" t="s">
        <v>378</v>
      </c>
      <c r="D71" s="2" t="s">
        <v>373</v>
      </c>
      <c r="E71" s="2" t="s">
        <v>496</v>
      </c>
      <c r="F71" s="2" t="s">
        <v>243</v>
      </c>
      <c r="G71" s="2">
        <v>3</v>
      </c>
      <c r="H71" s="4" t="s">
        <v>721</v>
      </c>
      <c r="I71" s="2" t="s">
        <v>380</v>
      </c>
      <c r="J71" s="2">
        <v>3</v>
      </c>
      <c r="K71" s="2" t="s">
        <v>376</v>
      </c>
      <c r="L71" s="2" t="s">
        <v>381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8.5">
      <c r="A72" s="2" t="s">
        <v>52</v>
      </c>
      <c r="B72" s="2" t="str">
        <f>IFERROR(INDEX('01_Компании'!$B$4:$B$25,MATCH(A72,'01_Компании'!$A$4:$A$25,0)),"")</f>
        <v>Visual Paradigm</v>
      </c>
      <c r="C72" s="2" t="s">
        <v>382</v>
      </c>
      <c r="D72" s="2" t="s">
        <v>373</v>
      </c>
      <c r="E72" s="2" t="s">
        <v>497</v>
      </c>
      <c r="F72" s="2" t="s">
        <v>245</v>
      </c>
      <c r="G72" s="2">
        <v>3</v>
      </c>
      <c r="H72" s="4" t="s">
        <v>721</v>
      </c>
      <c r="I72" s="2" t="s">
        <v>384</v>
      </c>
      <c r="J72" s="2">
        <v>3</v>
      </c>
      <c r="K72" s="2" t="s">
        <v>376</v>
      </c>
      <c r="L72" s="2" t="s">
        <v>385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8.5">
      <c r="A73" s="2" t="s">
        <v>52</v>
      </c>
      <c r="B73" s="2" t="str">
        <f>IFERROR(INDEX('01_Компании'!$B$4:$B$25,MATCH(A73,'01_Компании'!$A$4:$A$25,0)),"")</f>
        <v>Visual Paradigm</v>
      </c>
      <c r="C73" s="2" t="s">
        <v>386</v>
      </c>
      <c r="D73" s="2" t="s">
        <v>387</v>
      </c>
      <c r="E73" s="2" t="s">
        <v>498</v>
      </c>
      <c r="F73" s="2" t="s">
        <v>245</v>
      </c>
      <c r="G73" s="2">
        <v>3</v>
      </c>
      <c r="H73" s="4" t="s">
        <v>721</v>
      </c>
      <c r="I73" s="2" t="s">
        <v>389</v>
      </c>
      <c r="J73" s="2">
        <v>4</v>
      </c>
      <c r="K73" s="2" t="s">
        <v>430</v>
      </c>
      <c r="L73" s="2" t="s">
        <v>391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42.75">
      <c r="A74" s="2" t="s">
        <v>52</v>
      </c>
      <c r="B74" s="2" t="str">
        <f>IFERROR(INDEX('01_Компании'!$B$4:$B$25,MATCH(A74,'01_Компании'!$A$4:$A$25,0)),"")</f>
        <v>Visual Paradigm</v>
      </c>
      <c r="C74" s="2" t="s">
        <v>392</v>
      </c>
      <c r="D74" s="2" t="s">
        <v>499</v>
      </c>
      <c r="E74" s="2" t="s">
        <v>727</v>
      </c>
      <c r="F74" s="2" t="s">
        <v>239</v>
      </c>
      <c r="G74" s="2">
        <v>5</v>
      </c>
      <c r="H74" s="4" t="s">
        <v>721</v>
      </c>
      <c r="I74" s="2" t="s">
        <v>725</v>
      </c>
      <c r="J74" s="2">
        <v>4</v>
      </c>
      <c r="K74" s="2" t="s">
        <v>394</v>
      </c>
      <c r="L74" s="2" t="s">
        <v>395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8.5">
      <c r="A75" s="2" t="s">
        <v>52</v>
      </c>
      <c r="B75" s="2" t="str">
        <f>IFERROR(INDEX('01_Компании'!$B$4:$B$25,MATCH(A75,'01_Компании'!$A$4:$A$25,0)),"")</f>
        <v>Visual Paradigm</v>
      </c>
      <c r="C75" s="2" t="s">
        <v>396</v>
      </c>
      <c r="D75" s="2" t="s">
        <v>500</v>
      </c>
      <c r="E75" s="2" t="s">
        <v>501</v>
      </c>
      <c r="F75" s="2" t="s">
        <v>246</v>
      </c>
      <c r="G75" s="2">
        <v>3</v>
      </c>
      <c r="H75" s="4" t="s">
        <v>721</v>
      </c>
      <c r="I75" s="2" t="s">
        <v>399</v>
      </c>
      <c r="J75" s="2">
        <v>3</v>
      </c>
      <c r="K75" s="2" t="s">
        <v>400</v>
      </c>
      <c r="L75" s="2" t="s">
        <v>401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8.5">
      <c r="A76" s="2" t="s">
        <v>52</v>
      </c>
      <c r="B76" s="2" t="str">
        <f>IFERROR(INDEX('01_Компании'!$B$4:$B$25,MATCH(A76,'01_Компании'!$A$4:$A$25,0)),"")</f>
        <v>Visual Paradigm</v>
      </c>
      <c r="C76" s="2" t="s">
        <v>407</v>
      </c>
      <c r="D76" s="2" t="s">
        <v>502</v>
      </c>
      <c r="E76" s="2" t="s">
        <v>503</v>
      </c>
      <c r="F76" s="2" t="s">
        <v>246</v>
      </c>
      <c r="G76" s="2">
        <v>2</v>
      </c>
      <c r="H76" s="4" t="s">
        <v>721</v>
      </c>
      <c r="I76" s="2" t="s">
        <v>410</v>
      </c>
      <c r="J76" s="2">
        <v>4</v>
      </c>
      <c r="K76" s="2" t="s">
        <v>411</v>
      </c>
      <c r="L76" s="2" t="s">
        <v>412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42.75">
      <c r="A77" s="2" t="s">
        <v>52</v>
      </c>
      <c r="B77" s="2" t="str">
        <f>IFERROR(INDEX('01_Компании'!$B$4:$B$25,MATCH(A77,'01_Компании'!$A$4:$A$25,0)),"")</f>
        <v>Visual Paradigm</v>
      </c>
      <c r="C77" s="2" t="s">
        <v>413</v>
      </c>
      <c r="D77" s="2" t="s">
        <v>492</v>
      </c>
      <c r="E77" s="2" t="s">
        <v>504</v>
      </c>
      <c r="F77" s="2" t="s">
        <v>236</v>
      </c>
      <c r="G77" s="2">
        <v>2</v>
      </c>
      <c r="H77" s="4" t="s">
        <v>721</v>
      </c>
      <c r="I77" s="2" t="s">
        <v>883</v>
      </c>
      <c r="J77" s="2">
        <v>3</v>
      </c>
      <c r="K77" s="2" t="s">
        <v>415</v>
      </c>
      <c r="L77" s="2" t="s">
        <v>416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42.75">
      <c r="A78" s="2" t="s">
        <v>53</v>
      </c>
      <c r="B78" s="2" t="str">
        <f>IFERROR(INDEX('01_Компании'!$B$4:$B$25,MATCH(A78,'01_Компании'!$A$4:$A$25,0)),"")</f>
        <v>Sparx Systems (Enterprise Architect)</v>
      </c>
      <c r="C78" s="2" t="s">
        <v>372</v>
      </c>
      <c r="D78" s="2" t="s">
        <v>373</v>
      </c>
      <c r="E78" s="2" t="s">
        <v>505</v>
      </c>
      <c r="F78" s="2" t="s">
        <v>246</v>
      </c>
      <c r="G78" s="2">
        <v>3</v>
      </c>
      <c r="H78" s="4" t="s">
        <v>721</v>
      </c>
      <c r="I78" s="2" t="s">
        <v>375</v>
      </c>
      <c r="J78" s="2">
        <v>3</v>
      </c>
      <c r="K78" s="2" t="s">
        <v>376</v>
      </c>
      <c r="L78" s="2" t="s">
        <v>377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8.5">
      <c r="A79" s="2" t="s">
        <v>53</v>
      </c>
      <c r="B79" s="2" t="str">
        <f>IFERROR(INDEX('01_Компании'!$B$4:$B$25,MATCH(A79,'01_Компании'!$A$4:$A$25,0)),"")</f>
        <v>Sparx Systems (Enterprise Architect)</v>
      </c>
      <c r="C79" s="2" t="s">
        <v>378</v>
      </c>
      <c r="D79" s="2" t="s">
        <v>373</v>
      </c>
      <c r="E79" s="2" t="s">
        <v>506</v>
      </c>
      <c r="F79" s="2" t="s">
        <v>243</v>
      </c>
      <c r="G79" s="2">
        <v>3</v>
      </c>
      <c r="H79" s="4" t="s">
        <v>721</v>
      </c>
      <c r="I79" s="2" t="s">
        <v>380</v>
      </c>
      <c r="J79" s="2">
        <v>3</v>
      </c>
      <c r="K79" s="2" t="s">
        <v>376</v>
      </c>
      <c r="L79" s="2" t="s">
        <v>381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8.5">
      <c r="A80" s="2" t="s">
        <v>53</v>
      </c>
      <c r="B80" s="2" t="str">
        <f>IFERROR(INDEX('01_Компании'!$B$4:$B$25,MATCH(A80,'01_Компании'!$A$4:$A$25,0)),"")</f>
        <v>Sparx Systems (Enterprise Architect)</v>
      </c>
      <c r="C80" s="2" t="s">
        <v>382</v>
      </c>
      <c r="D80" s="2" t="s">
        <v>373</v>
      </c>
      <c r="E80" s="2" t="s">
        <v>507</v>
      </c>
      <c r="F80" s="2" t="s">
        <v>245</v>
      </c>
      <c r="G80" s="2">
        <v>3</v>
      </c>
      <c r="H80" s="4" t="s">
        <v>721</v>
      </c>
      <c r="I80" s="2" t="s">
        <v>384</v>
      </c>
      <c r="J80" s="2">
        <v>3</v>
      </c>
      <c r="K80" s="2" t="s">
        <v>376</v>
      </c>
      <c r="L80" s="2" t="s">
        <v>385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8.5">
      <c r="A81" s="2" t="s">
        <v>53</v>
      </c>
      <c r="B81" s="2" t="str">
        <f>IFERROR(INDEX('01_Компании'!$B$4:$B$25,MATCH(A81,'01_Компании'!$A$4:$A$25,0)),"")</f>
        <v>Sparx Systems (Enterprise Architect)</v>
      </c>
      <c r="C81" s="2" t="s">
        <v>386</v>
      </c>
      <c r="D81" s="2" t="s">
        <v>387</v>
      </c>
      <c r="E81" s="2" t="s">
        <v>508</v>
      </c>
      <c r="F81" s="2" t="s">
        <v>245</v>
      </c>
      <c r="G81" s="2">
        <v>3</v>
      </c>
      <c r="H81" s="4" t="s">
        <v>721</v>
      </c>
      <c r="I81" s="2" t="s">
        <v>389</v>
      </c>
      <c r="J81" s="2">
        <v>4</v>
      </c>
      <c r="K81" s="2" t="s">
        <v>430</v>
      </c>
      <c r="L81" s="2" t="s">
        <v>391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8.5">
      <c r="A82" s="2" t="s">
        <v>53</v>
      </c>
      <c r="B82" s="2" t="str">
        <f>IFERROR(INDEX('01_Компании'!$B$4:$B$25,MATCH(A82,'01_Компании'!$A$4:$A$25,0)),"")</f>
        <v>Sparx Systems (Enterprise Architect)</v>
      </c>
      <c r="C82" s="2" t="s">
        <v>396</v>
      </c>
      <c r="D82" s="2" t="s">
        <v>509</v>
      </c>
      <c r="E82" s="2" t="s">
        <v>510</v>
      </c>
      <c r="F82" s="2" t="s">
        <v>246</v>
      </c>
      <c r="G82" s="2">
        <v>3</v>
      </c>
      <c r="H82" s="4" t="s">
        <v>721</v>
      </c>
      <c r="I82" s="2" t="s">
        <v>399</v>
      </c>
      <c r="J82" s="2">
        <v>3</v>
      </c>
      <c r="K82" s="2" t="s">
        <v>400</v>
      </c>
      <c r="L82" s="2" t="s">
        <v>401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8.5">
      <c r="A83" s="2" t="s">
        <v>53</v>
      </c>
      <c r="B83" s="2" t="str">
        <f>IFERROR(INDEX('01_Компании'!$B$4:$B$25,MATCH(A83,'01_Компании'!$A$4:$A$25,0)),"")</f>
        <v>Sparx Systems (Enterprise Architect)</v>
      </c>
      <c r="C83" s="2" t="s">
        <v>407</v>
      </c>
      <c r="D83" s="2" t="s">
        <v>511</v>
      </c>
      <c r="E83" s="2" t="s">
        <v>512</v>
      </c>
      <c r="F83" s="2" t="s">
        <v>246</v>
      </c>
      <c r="G83" s="2">
        <v>2</v>
      </c>
      <c r="H83" s="4" t="s">
        <v>721</v>
      </c>
      <c r="I83" s="2" t="s">
        <v>410</v>
      </c>
      <c r="J83" s="2">
        <v>4</v>
      </c>
      <c r="K83" s="2" t="s">
        <v>411</v>
      </c>
      <c r="L83" s="2" t="s">
        <v>412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8.5">
      <c r="A84" s="2" t="s">
        <v>53</v>
      </c>
      <c r="B84" s="2" t="str">
        <f>IFERROR(INDEX('01_Компании'!$B$4:$B$25,MATCH(A84,'01_Компании'!$A$4:$A$25,0)),"")</f>
        <v>Sparx Systems (Enterprise Architect)</v>
      </c>
      <c r="C84" s="2" t="s">
        <v>513</v>
      </c>
      <c r="D84" s="2" t="s">
        <v>514</v>
      </c>
      <c r="E84" s="2" t="s">
        <v>515</v>
      </c>
      <c r="F84" s="2" t="s">
        <v>246</v>
      </c>
      <c r="G84" s="2">
        <v>1</v>
      </c>
      <c r="H84" s="4" t="s">
        <v>721</v>
      </c>
      <c r="I84" s="2" t="s">
        <v>516</v>
      </c>
      <c r="J84" s="2">
        <v>2</v>
      </c>
      <c r="K84" s="2" t="s">
        <v>415</v>
      </c>
      <c r="L84" s="2" t="s">
        <v>791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42.75">
      <c r="A85" s="2" t="s">
        <v>54</v>
      </c>
      <c r="B85" s="2" t="str">
        <f>IFERROR(INDEX('01_Компании'!$B$4:$B$25,MATCH(A85,'01_Компании'!$A$4:$A$25,0)),"")</f>
        <v>bpmn.io</v>
      </c>
      <c r="C85" s="2" t="s">
        <v>366</v>
      </c>
      <c r="D85" s="2" t="s">
        <v>517</v>
      </c>
      <c r="E85" s="2" t="s">
        <v>518</v>
      </c>
      <c r="F85" s="2" t="s">
        <v>233</v>
      </c>
      <c r="G85" s="2">
        <v>4</v>
      </c>
      <c r="H85" s="4" t="s">
        <v>721</v>
      </c>
      <c r="I85" s="2" t="s">
        <v>519</v>
      </c>
      <c r="J85" s="2">
        <v>4</v>
      </c>
      <c r="K85" s="2" t="s">
        <v>370</v>
      </c>
      <c r="L85" s="2" t="s">
        <v>371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42.75">
      <c r="A86" s="2" t="s">
        <v>54</v>
      </c>
      <c r="B86" s="2" t="str">
        <f>IFERROR(INDEX('01_Компании'!$B$4:$B$25,MATCH(A86,'01_Компании'!$A$4:$A$25,0)),"")</f>
        <v>bpmn.io</v>
      </c>
      <c r="C86" s="2" t="s">
        <v>372</v>
      </c>
      <c r="D86" s="2" t="s">
        <v>373</v>
      </c>
      <c r="E86" s="2" t="s">
        <v>520</v>
      </c>
      <c r="F86" s="2" t="s">
        <v>246</v>
      </c>
      <c r="G86" s="2">
        <v>3</v>
      </c>
      <c r="H86" s="4" t="s">
        <v>721</v>
      </c>
      <c r="I86" s="2" t="s">
        <v>375</v>
      </c>
      <c r="J86" s="2">
        <v>3</v>
      </c>
      <c r="K86" s="2" t="s">
        <v>376</v>
      </c>
      <c r="L86" s="2" t="s">
        <v>377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8.5">
      <c r="A87" s="2" t="s">
        <v>54</v>
      </c>
      <c r="B87" s="2" t="str">
        <f>IFERROR(INDEX('01_Компании'!$B$4:$B$25,MATCH(A87,'01_Компании'!$A$4:$A$25,0)),"")</f>
        <v>bpmn.io</v>
      </c>
      <c r="C87" s="2" t="s">
        <v>378</v>
      </c>
      <c r="D87" s="2" t="s">
        <v>373</v>
      </c>
      <c r="E87" s="2" t="s">
        <v>521</v>
      </c>
      <c r="F87" s="2" t="s">
        <v>243</v>
      </c>
      <c r="G87" s="2">
        <v>3</v>
      </c>
      <c r="H87" s="4" t="s">
        <v>721</v>
      </c>
      <c r="I87" s="2" t="s">
        <v>380</v>
      </c>
      <c r="J87" s="2">
        <v>3</v>
      </c>
      <c r="K87" s="2" t="s">
        <v>376</v>
      </c>
      <c r="L87" s="2" t="s">
        <v>381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8.5">
      <c r="A88" s="2" t="s">
        <v>54</v>
      </c>
      <c r="B88" s="2" t="str">
        <f>IFERROR(INDEX('01_Компании'!$B$4:$B$25,MATCH(A88,'01_Компании'!$A$4:$A$25,0)),"")</f>
        <v>bpmn.io</v>
      </c>
      <c r="C88" s="2" t="s">
        <v>382</v>
      </c>
      <c r="D88" s="2" t="s">
        <v>373</v>
      </c>
      <c r="E88" s="2" t="s">
        <v>522</v>
      </c>
      <c r="F88" s="2" t="s">
        <v>245</v>
      </c>
      <c r="G88" s="2">
        <v>3</v>
      </c>
      <c r="H88" s="4" t="s">
        <v>721</v>
      </c>
      <c r="I88" s="2" t="s">
        <v>384</v>
      </c>
      <c r="J88" s="2">
        <v>3</v>
      </c>
      <c r="K88" s="2" t="s">
        <v>376</v>
      </c>
      <c r="L88" s="2" t="s">
        <v>385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8.5">
      <c r="A89" s="2" t="s">
        <v>54</v>
      </c>
      <c r="B89" s="2" t="str">
        <f>IFERROR(INDEX('01_Компании'!$B$4:$B$25,MATCH(A89,'01_Компании'!$A$4:$A$25,0)),"")</f>
        <v>bpmn.io</v>
      </c>
      <c r="C89" s="2" t="s">
        <v>386</v>
      </c>
      <c r="D89" s="2" t="s">
        <v>387</v>
      </c>
      <c r="E89" s="2" t="s">
        <v>523</v>
      </c>
      <c r="F89" s="2" t="s">
        <v>245</v>
      </c>
      <c r="G89" s="2">
        <v>3</v>
      </c>
      <c r="H89" s="4" t="s">
        <v>721</v>
      </c>
      <c r="I89" s="2" t="s">
        <v>389</v>
      </c>
      <c r="J89" s="2">
        <v>4</v>
      </c>
      <c r="K89" s="2" t="s">
        <v>390</v>
      </c>
      <c r="L89" s="2" t="s">
        <v>391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8.5">
      <c r="A90" s="2" t="s">
        <v>54</v>
      </c>
      <c r="B90" s="2" t="str">
        <f>IFERROR(INDEX('01_Компании'!$B$4:$B$25,MATCH(A90,'01_Компании'!$A$4:$A$25,0)),"")</f>
        <v>bpmn.io</v>
      </c>
      <c r="C90" s="2" t="s">
        <v>402</v>
      </c>
      <c r="D90" s="2" t="s">
        <v>524</v>
      </c>
      <c r="E90" s="2" t="s">
        <v>888</v>
      </c>
      <c r="F90" s="2" t="s">
        <v>246</v>
      </c>
      <c r="G90" s="2">
        <v>3</v>
      </c>
      <c r="H90" s="4" t="s">
        <v>721</v>
      </c>
      <c r="I90" s="2" t="s">
        <v>404</v>
      </c>
      <c r="J90" s="2">
        <v>5</v>
      </c>
      <c r="K90" s="2" t="s">
        <v>405</v>
      </c>
      <c r="L90" s="2" t="s">
        <v>406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8.5">
      <c r="A91" s="2" t="s">
        <v>54</v>
      </c>
      <c r="B91" s="2" t="str">
        <f>IFERROR(INDEX('01_Компании'!$B$4:$B$25,MATCH(A91,'01_Компании'!$A$4:$A$25,0)),"")</f>
        <v>bpmn.io</v>
      </c>
      <c r="C91" s="2" t="s">
        <v>407</v>
      </c>
      <c r="D91" s="2" t="s">
        <v>525</v>
      </c>
      <c r="E91" s="2" t="s">
        <v>526</v>
      </c>
      <c r="F91" s="2" t="s">
        <v>246</v>
      </c>
      <c r="G91" s="2">
        <v>2</v>
      </c>
      <c r="H91" s="4" t="s">
        <v>721</v>
      </c>
      <c r="I91" s="2" t="s">
        <v>410</v>
      </c>
      <c r="J91" s="2">
        <v>4</v>
      </c>
      <c r="K91" s="2" t="s">
        <v>411</v>
      </c>
      <c r="L91" s="2" t="s">
        <v>412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42.75">
      <c r="A92" s="2" t="s">
        <v>54</v>
      </c>
      <c r="B92" s="2" t="str">
        <f>IFERROR(INDEX('01_Компании'!$B$4:$B$25,MATCH(A92,'01_Компании'!$A$4:$A$25,0)),"")</f>
        <v>bpmn.io</v>
      </c>
      <c r="C92" s="2" t="s">
        <v>413</v>
      </c>
      <c r="D92" s="2" t="s">
        <v>517</v>
      </c>
      <c r="E92" s="2" t="s">
        <v>527</v>
      </c>
      <c r="F92" s="2" t="s">
        <v>236</v>
      </c>
      <c r="G92" s="2">
        <v>2</v>
      </c>
      <c r="H92" s="4" t="s">
        <v>721</v>
      </c>
      <c r="I92" s="2" t="s">
        <v>883</v>
      </c>
      <c r="J92" s="2">
        <v>3</v>
      </c>
      <c r="K92" s="2" t="s">
        <v>415</v>
      </c>
      <c r="L92" s="2" t="s">
        <v>416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8.5">
      <c r="A93" s="2" t="s">
        <v>54</v>
      </c>
      <c r="B93" s="2" t="str">
        <f>IFERROR(INDEX('01_Компании'!$B$4:$B$25,MATCH(A93,'01_Компании'!$A$4:$A$25,0)),"")</f>
        <v>bpmn.io</v>
      </c>
      <c r="C93" s="2" t="s">
        <v>417</v>
      </c>
      <c r="D93" s="2" t="s">
        <v>418</v>
      </c>
      <c r="E93" s="2" t="s">
        <v>419</v>
      </c>
      <c r="F93" s="2" t="s">
        <v>247</v>
      </c>
      <c r="G93" s="2">
        <v>2</v>
      </c>
      <c r="H93" s="4" t="s">
        <v>721</v>
      </c>
      <c r="I93" s="2" t="s">
        <v>420</v>
      </c>
      <c r="J93" s="2">
        <v>3</v>
      </c>
      <c r="K93" s="2" t="s">
        <v>421</v>
      </c>
      <c r="L93" s="2" t="s">
        <v>422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57">
      <c r="A94" s="2" t="s">
        <v>55</v>
      </c>
      <c r="B94" s="2" t="str">
        <f>IFERROR(INDEX('01_Компании'!$B$4:$B$25,MATCH(A94,'01_Компании'!$A$4:$A$25,0)),"")</f>
        <v>Camunda (Modeler)</v>
      </c>
      <c r="C94" s="2" t="s">
        <v>366</v>
      </c>
      <c r="D94" s="2" t="s">
        <v>528</v>
      </c>
      <c r="E94" s="2" t="s">
        <v>529</v>
      </c>
      <c r="F94" s="2" t="s">
        <v>233</v>
      </c>
      <c r="G94" s="2">
        <v>4</v>
      </c>
      <c r="H94" s="4" t="s">
        <v>721</v>
      </c>
      <c r="I94" s="2" t="s">
        <v>530</v>
      </c>
      <c r="J94" s="2">
        <v>4</v>
      </c>
      <c r="K94" s="2" t="s">
        <v>370</v>
      </c>
      <c r="L94" s="2" t="s">
        <v>371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8.5">
      <c r="A95" s="2" t="s">
        <v>55</v>
      </c>
      <c r="B95" s="2" t="str">
        <f>IFERROR(INDEX('01_Компании'!$B$4:$B$25,MATCH(A95,'01_Компании'!$A$4:$A$25,0)),"")</f>
        <v>Camunda (Modeler)</v>
      </c>
      <c r="C95" s="2" t="s">
        <v>386</v>
      </c>
      <c r="D95" s="2" t="s">
        <v>387</v>
      </c>
      <c r="E95" s="2" t="s">
        <v>531</v>
      </c>
      <c r="F95" s="2" t="s">
        <v>245</v>
      </c>
      <c r="G95" s="2">
        <v>3</v>
      </c>
      <c r="H95" s="4" t="s">
        <v>721</v>
      </c>
      <c r="I95" s="2" t="s">
        <v>389</v>
      </c>
      <c r="J95" s="2">
        <v>4</v>
      </c>
      <c r="K95" s="2" t="s">
        <v>390</v>
      </c>
      <c r="L95" s="2" t="s">
        <v>391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8.5">
      <c r="A96" s="2" t="s">
        <v>55</v>
      </c>
      <c r="B96" s="2" t="str">
        <f>IFERROR(INDEX('01_Компании'!$B$4:$B$25,MATCH(A96,'01_Компании'!$A$4:$A$25,0)),"")</f>
        <v>Camunda (Modeler)</v>
      </c>
      <c r="C96" s="2" t="s">
        <v>396</v>
      </c>
      <c r="D96" s="2" t="s">
        <v>532</v>
      </c>
      <c r="E96" s="2" t="s">
        <v>533</v>
      </c>
      <c r="F96" s="2" t="s">
        <v>246</v>
      </c>
      <c r="G96" s="2">
        <v>3</v>
      </c>
      <c r="H96" s="4" t="s">
        <v>721</v>
      </c>
      <c r="I96" s="2" t="s">
        <v>399</v>
      </c>
      <c r="J96" s="2">
        <v>3</v>
      </c>
      <c r="K96" s="2" t="s">
        <v>400</v>
      </c>
      <c r="L96" s="2" t="s">
        <v>401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8.5">
      <c r="A97" s="2" t="s">
        <v>55</v>
      </c>
      <c r="B97" s="2" t="str">
        <f>IFERROR(INDEX('01_Компании'!$B$4:$B$25,MATCH(A97,'01_Компании'!$A$4:$A$25,0)),"")</f>
        <v>Camunda (Modeler)</v>
      </c>
      <c r="C97" s="2" t="s">
        <v>402</v>
      </c>
      <c r="D97" s="2" t="s">
        <v>534</v>
      </c>
      <c r="E97" s="2" t="s">
        <v>889</v>
      </c>
      <c r="F97" s="2" t="s">
        <v>246</v>
      </c>
      <c r="G97" s="2">
        <v>3</v>
      </c>
      <c r="H97" s="4" t="s">
        <v>721</v>
      </c>
      <c r="I97" s="2" t="s">
        <v>404</v>
      </c>
      <c r="J97" s="2">
        <v>5</v>
      </c>
      <c r="K97" s="2" t="s">
        <v>405</v>
      </c>
      <c r="L97" s="2" t="s">
        <v>406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8.5">
      <c r="A98" s="2" t="s">
        <v>55</v>
      </c>
      <c r="B98" s="2" t="str">
        <f>IFERROR(INDEX('01_Компании'!$B$4:$B$25,MATCH(A98,'01_Компании'!$A$4:$A$25,0)),"")</f>
        <v>Camunda (Modeler)</v>
      </c>
      <c r="C98" s="2" t="s">
        <v>407</v>
      </c>
      <c r="D98" s="2" t="s">
        <v>535</v>
      </c>
      <c r="E98" s="2" t="s">
        <v>536</v>
      </c>
      <c r="F98" s="2" t="s">
        <v>246</v>
      </c>
      <c r="G98" s="2">
        <v>2</v>
      </c>
      <c r="H98" s="4" t="s">
        <v>721</v>
      </c>
      <c r="I98" s="2" t="s">
        <v>410</v>
      </c>
      <c r="J98" s="2">
        <v>4</v>
      </c>
      <c r="K98" s="2" t="s">
        <v>411</v>
      </c>
      <c r="L98" s="2" t="s">
        <v>412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42.75">
      <c r="A99" s="2" t="s">
        <v>55</v>
      </c>
      <c r="B99" s="2" t="str">
        <f>IFERROR(INDEX('01_Компании'!$B$4:$B$25,MATCH(A99,'01_Компании'!$A$4:$A$25,0)),"")</f>
        <v>Camunda (Modeler)</v>
      </c>
      <c r="C99" s="2" t="s">
        <v>413</v>
      </c>
      <c r="D99" s="2" t="s">
        <v>528</v>
      </c>
      <c r="E99" s="2" t="s">
        <v>537</v>
      </c>
      <c r="F99" s="2" t="s">
        <v>236</v>
      </c>
      <c r="G99" s="2">
        <v>2</v>
      </c>
      <c r="H99" s="4" t="s">
        <v>721</v>
      </c>
      <c r="I99" s="2" t="s">
        <v>883</v>
      </c>
      <c r="J99" s="2">
        <v>3</v>
      </c>
      <c r="K99" s="2" t="s">
        <v>415</v>
      </c>
      <c r="L99" s="2" t="s">
        <v>416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8.5">
      <c r="A100" s="2" t="s">
        <v>55</v>
      </c>
      <c r="B100" s="2" t="str">
        <f>IFERROR(INDEX('01_Компании'!$B$4:$B$25,MATCH(A100,'01_Компании'!$A$4:$A$25,0)),"")</f>
        <v>Camunda (Modeler)</v>
      </c>
      <c r="C100" s="2" t="s">
        <v>417</v>
      </c>
      <c r="D100" s="2" t="s">
        <v>418</v>
      </c>
      <c r="E100" s="2" t="s">
        <v>419</v>
      </c>
      <c r="F100" s="2" t="s">
        <v>247</v>
      </c>
      <c r="G100" s="2">
        <v>2</v>
      </c>
      <c r="H100" s="4" t="s">
        <v>721</v>
      </c>
      <c r="I100" s="2" t="s">
        <v>420</v>
      </c>
      <c r="J100" s="2">
        <v>3</v>
      </c>
      <c r="K100" s="2" t="s">
        <v>421</v>
      </c>
      <c r="L100" s="2" t="s">
        <v>422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42.75">
      <c r="A101" s="2" t="s">
        <v>56</v>
      </c>
      <c r="B101" s="2" t="str">
        <f>IFERROR(INDEX('01_Компании'!$B$4:$B$25,MATCH(A101,'01_Компании'!$A$4:$A$25,0)),"")</f>
        <v>Storm (StormBPMN)</v>
      </c>
      <c r="C101" s="2" t="s">
        <v>366</v>
      </c>
      <c r="D101" s="2" t="s">
        <v>538</v>
      </c>
      <c r="E101" s="2" t="s">
        <v>722</v>
      </c>
      <c r="F101" s="2" t="s">
        <v>233</v>
      </c>
      <c r="G101" s="2">
        <v>4</v>
      </c>
      <c r="H101" s="4" t="s">
        <v>721</v>
      </c>
      <c r="I101" s="2" t="s">
        <v>539</v>
      </c>
      <c r="J101" s="2">
        <v>4</v>
      </c>
      <c r="K101" s="2" t="s">
        <v>370</v>
      </c>
      <c r="L101" s="2" t="s">
        <v>371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42.75">
      <c r="A102" s="2" t="s">
        <v>56</v>
      </c>
      <c r="B102" s="2" t="str">
        <f>IFERROR(INDEX('01_Компании'!$B$4:$B$25,MATCH(A102,'01_Компании'!$A$4:$A$25,0)),"")</f>
        <v>Storm (StormBPMN)</v>
      </c>
      <c r="C102" s="2" t="s">
        <v>372</v>
      </c>
      <c r="D102" s="2" t="s">
        <v>373</v>
      </c>
      <c r="E102" s="2" t="s">
        <v>540</v>
      </c>
      <c r="F102" s="2" t="s">
        <v>246</v>
      </c>
      <c r="G102" s="2">
        <v>3</v>
      </c>
      <c r="H102" s="4" t="s">
        <v>721</v>
      </c>
      <c r="I102" s="2" t="s">
        <v>375</v>
      </c>
      <c r="J102" s="2">
        <v>3</v>
      </c>
      <c r="K102" s="2" t="s">
        <v>376</v>
      </c>
      <c r="L102" s="2" t="s">
        <v>377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8.5">
      <c r="A103" s="2" t="s">
        <v>56</v>
      </c>
      <c r="B103" s="2" t="str">
        <f>IFERROR(INDEX('01_Компании'!$B$4:$B$25,MATCH(A103,'01_Компании'!$A$4:$A$25,0)),"")</f>
        <v>Storm (StormBPMN)</v>
      </c>
      <c r="C103" s="2" t="s">
        <v>378</v>
      </c>
      <c r="D103" s="2" t="s">
        <v>373</v>
      </c>
      <c r="E103" s="2" t="s">
        <v>541</v>
      </c>
      <c r="F103" s="2" t="s">
        <v>243</v>
      </c>
      <c r="G103" s="2">
        <v>3</v>
      </c>
      <c r="H103" s="4" t="s">
        <v>721</v>
      </c>
      <c r="I103" s="2" t="s">
        <v>380</v>
      </c>
      <c r="J103" s="2">
        <v>3</v>
      </c>
      <c r="K103" s="2" t="s">
        <v>376</v>
      </c>
      <c r="L103" s="2" t="s">
        <v>381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8.5">
      <c r="A104" s="2" t="s">
        <v>56</v>
      </c>
      <c r="B104" s="2" t="str">
        <f>IFERROR(INDEX('01_Компании'!$B$4:$B$25,MATCH(A104,'01_Компании'!$A$4:$A$25,0)),"")</f>
        <v>Storm (StormBPMN)</v>
      </c>
      <c r="C104" s="2" t="s">
        <v>382</v>
      </c>
      <c r="D104" s="2" t="s">
        <v>373</v>
      </c>
      <c r="E104" s="2" t="s">
        <v>542</v>
      </c>
      <c r="F104" s="2" t="s">
        <v>245</v>
      </c>
      <c r="G104" s="2">
        <v>3</v>
      </c>
      <c r="H104" s="4" t="s">
        <v>721</v>
      </c>
      <c r="I104" s="2" t="s">
        <v>384</v>
      </c>
      <c r="J104" s="2">
        <v>3</v>
      </c>
      <c r="K104" s="2" t="s">
        <v>376</v>
      </c>
      <c r="L104" s="2" t="s">
        <v>385</v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8.5">
      <c r="A105" s="2" t="s">
        <v>56</v>
      </c>
      <c r="B105" s="2" t="str">
        <f>IFERROR(INDEX('01_Компании'!$B$4:$B$25,MATCH(A105,'01_Компании'!$A$4:$A$25,0)),"")</f>
        <v>Storm (StormBPMN)</v>
      </c>
      <c r="C105" s="2" t="s">
        <v>386</v>
      </c>
      <c r="D105" s="2" t="s">
        <v>387</v>
      </c>
      <c r="E105" s="2" t="s">
        <v>543</v>
      </c>
      <c r="F105" s="2" t="s">
        <v>245</v>
      </c>
      <c r="G105" s="2">
        <v>3</v>
      </c>
      <c r="H105" s="4" t="s">
        <v>721</v>
      </c>
      <c r="I105" s="2" t="s">
        <v>389</v>
      </c>
      <c r="J105" s="2">
        <v>4</v>
      </c>
      <c r="K105" s="2" t="s">
        <v>390</v>
      </c>
      <c r="L105" s="2" t="s">
        <v>391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8.5">
      <c r="A106" s="2" t="s">
        <v>56</v>
      </c>
      <c r="B106" s="2" t="str">
        <f>IFERROR(INDEX('01_Компании'!$B$4:$B$25,MATCH(A106,'01_Компании'!$A$4:$A$25,0)),"")</f>
        <v>Storm (StormBPMN)</v>
      </c>
      <c r="C106" s="2" t="s">
        <v>407</v>
      </c>
      <c r="D106" s="2" t="s">
        <v>544</v>
      </c>
      <c r="E106" s="2" t="s">
        <v>545</v>
      </c>
      <c r="F106" s="2" t="s">
        <v>246</v>
      </c>
      <c r="G106" s="2">
        <v>2</v>
      </c>
      <c r="H106" s="4" t="s">
        <v>721</v>
      </c>
      <c r="I106" s="2" t="s">
        <v>410</v>
      </c>
      <c r="J106" s="2">
        <v>4</v>
      </c>
      <c r="K106" s="2" t="s">
        <v>411</v>
      </c>
      <c r="L106" s="2" t="s">
        <v>412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42.75">
      <c r="A107" s="2" t="s">
        <v>56</v>
      </c>
      <c r="B107" s="2" t="str">
        <f>IFERROR(INDEX('01_Компании'!$B$4:$B$25,MATCH(A107,'01_Компании'!$A$4:$A$25,0)),"")</f>
        <v>Storm (StormBPMN)</v>
      </c>
      <c r="C107" s="2" t="s">
        <v>413</v>
      </c>
      <c r="D107" s="2" t="s">
        <v>538</v>
      </c>
      <c r="E107" s="2" t="s">
        <v>546</v>
      </c>
      <c r="F107" s="2" t="s">
        <v>236</v>
      </c>
      <c r="G107" s="2">
        <v>2</v>
      </c>
      <c r="H107" s="4" t="s">
        <v>721</v>
      </c>
      <c r="I107" s="2" t="s">
        <v>883</v>
      </c>
      <c r="J107" s="2">
        <v>3</v>
      </c>
      <c r="K107" s="2" t="s">
        <v>415</v>
      </c>
      <c r="L107" s="2" t="s">
        <v>416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42.75">
      <c r="A108" s="2" t="s">
        <v>57</v>
      </c>
      <c r="B108" s="2" t="str">
        <f>IFERROR(INDEX('01_Компании'!$B$4:$B$25,MATCH(A108,'01_Компании'!$A$4:$A$25,0)),"")</f>
        <v>draw.io (diagrams.net)</v>
      </c>
      <c r="C108" s="2" t="s">
        <v>366</v>
      </c>
      <c r="D108" s="2" t="s">
        <v>547</v>
      </c>
      <c r="E108" s="2" t="s">
        <v>548</v>
      </c>
      <c r="F108" s="2" t="s">
        <v>233</v>
      </c>
      <c r="G108" s="2">
        <v>4</v>
      </c>
      <c r="H108" s="4" t="s">
        <v>721</v>
      </c>
      <c r="I108" s="2" t="s">
        <v>549</v>
      </c>
      <c r="J108" s="2">
        <v>4</v>
      </c>
      <c r="K108" s="2" t="s">
        <v>370</v>
      </c>
      <c r="L108" s="2" t="s">
        <v>371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42.75">
      <c r="A109" s="2" t="s">
        <v>57</v>
      </c>
      <c r="B109" s="2" t="str">
        <f>IFERROR(INDEX('01_Компании'!$B$4:$B$25,MATCH(A109,'01_Компании'!$A$4:$A$25,0)),"")</f>
        <v>draw.io (diagrams.net)</v>
      </c>
      <c r="C109" s="2" t="s">
        <v>550</v>
      </c>
      <c r="D109" s="2" t="s">
        <v>551</v>
      </c>
      <c r="E109" s="2" t="s">
        <v>723</v>
      </c>
      <c r="F109" s="2" t="s">
        <v>90</v>
      </c>
      <c r="G109" s="2">
        <v>4</v>
      </c>
      <c r="H109" s="4" t="s">
        <v>721</v>
      </c>
      <c r="I109" s="2" t="s">
        <v>552</v>
      </c>
      <c r="J109" s="2">
        <v>4</v>
      </c>
      <c r="K109" s="2" t="s">
        <v>370</v>
      </c>
      <c r="L109" s="2" t="s">
        <v>371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42.75">
      <c r="A110" s="2" t="s">
        <v>57</v>
      </c>
      <c r="B110" s="2" t="str">
        <f>IFERROR(INDEX('01_Компании'!$B$4:$B$25,MATCH(A110,'01_Компании'!$A$4:$A$25,0)),"")</f>
        <v>draw.io (diagrams.net)</v>
      </c>
      <c r="C110" s="2" t="s">
        <v>372</v>
      </c>
      <c r="D110" s="2" t="s">
        <v>373</v>
      </c>
      <c r="E110" s="2" t="s">
        <v>553</v>
      </c>
      <c r="F110" s="2" t="s">
        <v>246</v>
      </c>
      <c r="G110" s="2">
        <v>3</v>
      </c>
      <c r="H110" s="4" t="s">
        <v>721</v>
      </c>
      <c r="I110" s="2" t="s">
        <v>375</v>
      </c>
      <c r="J110" s="2">
        <v>3</v>
      </c>
      <c r="K110" s="2" t="s">
        <v>376</v>
      </c>
      <c r="L110" s="2" t="s">
        <v>377</v>
      </c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8.5">
      <c r="A111" s="2" t="s">
        <v>57</v>
      </c>
      <c r="B111" s="2" t="str">
        <f>IFERROR(INDEX('01_Компании'!$B$4:$B$25,MATCH(A111,'01_Компании'!$A$4:$A$25,0)),"")</f>
        <v>draw.io (diagrams.net)</v>
      </c>
      <c r="C111" s="2" t="s">
        <v>378</v>
      </c>
      <c r="D111" s="2" t="s">
        <v>373</v>
      </c>
      <c r="E111" s="2" t="s">
        <v>554</v>
      </c>
      <c r="F111" s="2" t="s">
        <v>243</v>
      </c>
      <c r="G111" s="2">
        <v>3</v>
      </c>
      <c r="H111" s="4" t="s">
        <v>721</v>
      </c>
      <c r="I111" s="2" t="s">
        <v>380</v>
      </c>
      <c r="J111" s="2">
        <v>3</v>
      </c>
      <c r="K111" s="2" t="s">
        <v>376</v>
      </c>
      <c r="L111" s="2" t="s">
        <v>381</v>
      </c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8.5">
      <c r="A112" s="2" t="s">
        <v>57</v>
      </c>
      <c r="B112" s="2" t="str">
        <f>IFERROR(INDEX('01_Компании'!$B$4:$B$25,MATCH(A112,'01_Компании'!$A$4:$A$25,0)),"")</f>
        <v>draw.io (diagrams.net)</v>
      </c>
      <c r="C112" s="2" t="s">
        <v>382</v>
      </c>
      <c r="D112" s="2" t="s">
        <v>373</v>
      </c>
      <c r="E112" s="2" t="s">
        <v>555</v>
      </c>
      <c r="F112" s="2" t="s">
        <v>245</v>
      </c>
      <c r="G112" s="2">
        <v>3</v>
      </c>
      <c r="H112" s="4" t="s">
        <v>721</v>
      </c>
      <c r="I112" s="2" t="s">
        <v>384</v>
      </c>
      <c r="J112" s="2">
        <v>3</v>
      </c>
      <c r="K112" s="2" t="s">
        <v>376</v>
      </c>
      <c r="L112" s="2" t="s">
        <v>385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8.5">
      <c r="A113" s="2" t="s">
        <v>57</v>
      </c>
      <c r="B113" s="2" t="str">
        <f>IFERROR(INDEX('01_Компании'!$B$4:$B$25,MATCH(A113,'01_Компании'!$A$4:$A$25,0)),"")</f>
        <v>draw.io (diagrams.net)</v>
      </c>
      <c r="C113" s="2" t="s">
        <v>386</v>
      </c>
      <c r="D113" s="2" t="s">
        <v>387</v>
      </c>
      <c r="E113" s="2" t="s">
        <v>556</v>
      </c>
      <c r="F113" s="2" t="s">
        <v>245</v>
      </c>
      <c r="G113" s="2">
        <v>3</v>
      </c>
      <c r="H113" s="4" t="s">
        <v>721</v>
      </c>
      <c r="I113" s="2" t="s">
        <v>389</v>
      </c>
      <c r="J113" s="2">
        <v>4</v>
      </c>
      <c r="K113" s="2" t="s">
        <v>430</v>
      </c>
      <c r="L113" s="2" t="s">
        <v>391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8.5">
      <c r="A114" s="2" t="s">
        <v>57</v>
      </c>
      <c r="B114" s="2" t="str">
        <f>IFERROR(INDEX('01_Компании'!$B$4:$B$25,MATCH(A114,'01_Компании'!$A$4:$A$25,0)),"")</f>
        <v>draw.io (diagrams.net)</v>
      </c>
      <c r="C114" s="2" t="s">
        <v>392</v>
      </c>
      <c r="D114" s="2" t="s">
        <v>551</v>
      </c>
      <c r="E114" s="2" t="s">
        <v>557</v>
      </c>
      <c r="F114" s="2" t="s">
        <v>239</v>
      </c>
      <c r="G114" s="2">
        <v>5</v>
      </c>
      <c r="H114" s="4" t="s">
        <v>721</v>
      </c>
      <c r="I114" s="2" t="s">
        <v>725</v>
      </c>
      <c r="J114" s="2">
        <v>4</v>
      </c>
      <c r="K114" s="2" t="s">
        <v>394</v>
      </c>
      <c r="L114" s="2" t="s">
        <v>395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8.5">
      <c r="A115" s="2" t="s">
        <v>57</v>
      </c>
      <c r="B115" s="2" t="str">
        <f>IFERROR(INDEX('01_Компании'!$B$4:$B$25,MATCH(A115,'01_Компании'!$A$4:$A$25,0)),"")</f>
        <v>draw.io (diagrams.net)</v>
      </c>
      <c r="C115" s="2" t="s">
        <v>396</v>
      </c>
      <c r="D115" s="2" t="s">
        <v>558</v>
      </c>
      <c r="E115" s="2" t="s">
        <v>559</v>
      </c>
      <c r="F115" s="2" t="s">
        <v>246</v>
      </c>
      <c r="G115" s="2">
        <v>3</v>
      </c>
      <c r="H115" s="4" t="s">
        <v>721</v>
      </c>
      <c r="I115" s="2" t="s">
        <v>399</v>
      </c>
      <c r="J115" s="2">
        <v>3</v>
      </c>
      <c r="K115" s="2" t="s">
        <v>400</v>
      </c>
      <c r="L115" s="2" t="s">
        <v>401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57">
      <c r="A116" s="2" t="s">
        <v>57</v>
      </c>
      <c r="B116" s="2" t="str">
        <f>IFERROR(INDEX('01_Компании'!$B$4:$B$25,MATCH(A116,'01_Компании'!$A$4:$A$25,0)),"")</f>
        <v>draw.io (diagrams.net)</v>
      </c>
      <c r="C116" s="2" t="s">
        <v>402</v>
      </c>
      <c r="D116" s="2" t="s">
        <v>560</v>
      </c>
      <c r="E116" s="2" t="s">
        <v>890</v>
      </c>
      <c r="F116" s="2" t="s">
        <v>246</v>
      </c>
      <c r="G116" s="2">
        <v>3</v>
      </c>
      <c r="H116" s="4" t="s">
        <v>721</v>
      </c>
      <c r="I116" s="2" t="s">
        <v>404</v>
      </c>
      <c r="J116" s="2">
        <v>5</v>
      </c>
      <c r="K116" s="2" t="s">
        <v>405</v>
      </c>
      <c r="L116" s="2" t="s">
        <v>406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8.5">
      <c r="A117" s="2" t="s">
        <v>57</v>
      </c>
      <c r="B117" s="2" t="str">
        <f>IFERROR(INDEX('01_Компании'!$B$4:$B$25,MATCH(A117,'01_Компании'!$A$4:$A$25,0)),"")</f>
        <v>draw.io (diagrams.net)</v>
      </c>
      <c r="C117" s="2" t="s">
        <v>407</v>
      </c>
      <c r="D117" s="2" t="s">
        <v>561</v>
      </c>
      <c r="E117" s="2" t="s">
        <v>562</v>
      </c>
      <c r="F117" s="2" t="s">
        <v>246</v>
      </c>
      <c r="G117" s="2">
        <v>2</v>
      </c>
      <c r="H117" s="4" t="s">
        <v>721</v>
      </c>
      <c r="I117" s="2" t="s">
        <v>410</v>
      </c>
      <c r="J117" s="2">
        <v>4</v>
      </c>
      <c r="K117" s="2" t="s">
        <v>411</v>
      </c>
      <c r="L117" s="2" t="s">
        <v>412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42.75">
      <c r="A118" s="2" t="s">
        <v>57</v>
      </c>
      <c r="B118" s="2" t="str">
        <f>IFERROR(INDEX('01_Компании'!$B$4:$B$25,MATCH(A118,'01_Компании'!$A$4:$A$25,0)),"")</f>
        <v>draw.io (diagrams.net)</v>
      </c>
      <c r="C118" s="2" t="s">
        <v>413</v>
      </c>
      <c r="D118" s="2" t="s">
        <v>547</v>
      </c>
      <c r="E118" s="2" t="s">
        <v>563</v>
      </c>
      <c r="F118" s="2" t="s">
        <v>236</v>
      </c>
      <c r="G118" s="2">
        <v>2</v>
      </c>
      <c r="H118" s="4" t="s">
        <v>721</v>
      </c>
      <c r="I118" s="2" t="s">
        <v>883</v>
      </c>
      <c r="J118" s="2">
        <v>3</v>
      </c>
      <c r="K118" s="2" t="s">
        <v>415</v>
      </c>
      <c r="L118" s="2" t="s">
        <v>416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8.5">
      <c r="A119" s="2" t="s">
        <v>57</v>
      </c>
      <c r="B119" s="2" t="str">
        <f>IFERROR(INDEX('01_Компании'!$B$4:$B$25,MATCH(A119,'01_Компании'!$A$4:$A$25,0)),"")</f>
        <v>draw.io (diagrams.net)</v>
      </c>
      <c r="C119" s="2" t="s">
        <v>417</v>
      </c>
      <c r="D119" s="2" t="s">
        <v>418</v>
      </c>
      <c r="E119" s="2" t="s">
        <v>419</v>
      </c>
      <c r="F119" s="2" t="s">
        <v>247</v>
      </c>
      <c r="G119" s="2">
        <v>2</v>
      </c>
      <c r="H119" s="4" t="s">
        <v>721</v>
      </c>
      <c r="I119" s="2" t="s">
        <v>420</v>
      </c>
      <c r="J119" s="2">
        <v>3</v>
      </c>
      <c r="K119" s="2" t="s">
        <v>421</v>
      </c>
      <c r="L119" s="2" t="s">
        <v>422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42.75">
      <c r="A120" s="2" t="s">
        <v>58</v>
      </c>
      <c r="B120" s="2" t="str">
        <f>IFERROR(INDEX('01_Компании'!$B$4:$B$25,MATCH(A120,'01_Компании'!$A$4:$A$25,0)),"")</f>
        <v>Lucidchart</v>
      </c>
      <c r="C120" s="2" t="s">
        <v>366</v>
      </c>
      <c r="D120" s="2" t="s">
        <v>564</v>
      </c>
      <c r="E120" s="2" t="s">
        <v>565</v>
      </c>
      <c r="F120" s="2" t="s">
        <v>233</v>
      </c>
      <c r="G120" s="2">
        <v>4</v>
      </c>
      <c r="H120" s="4" t="s">
        <v>721</v>
      </c>
      <c r="I120" s="2" t="s">
        <v>566</v>
      </c>
      <c r="J120" s="2">
        <v>4</v>
      </c>
      <c r="K120" s="2" t="s">
        <v>370</v>
      </c>
      <c r="L120" s="2" t="s">
        <v>371</v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42.75">
      <c r="A121" s="2" t="s">
        <v>58</v>
      </c>
      <c r="B121" s="2" t="str">
        <f>IFERROR(INDEX('01_Компании'!$B$4:$B$25,MATCH(A121,'01_Компании'!$A$4:$A$25,0)),"")</f>
        <v>Lucidchart</v>
      </c>
      <c r="C121" s="2" t="s">
        <v>372</v>
      </c>
      <c r="D121" s="2" t="s">
        <v>373</v>
      </c>
      <c r="E121" s="2" t="s">
        <v>567</v>
      </c>
      <c r="F121" s="2" t="s">
        <v>246</v>
      </c>
      <c r="G121" s="2">
        <v>3</v>
      </c>
      <c r="H121" s="4" t="s">
        <v>721</v>
      </c>
      <c r="I121" s="2" t="s">
        <v>375</v>
      </c>
      <c r="J121" s="2">
        <v>3</v>
      </c>
      <c r="K121" s="2" t="s">
        <v>376</v>
      </c>
      <c r="L121" s="2" t="s">
        <v>377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8.5">
      <c r="A122" s="2" t="s">
        <v>58</v>
      </c>
      <c r="B122" s="2" t="str">
        <f>IFERROR(INDEX('01_Компании'!$B$4:$B$25,MATCH(A122,'01_Компании'!$A$4:$A$25,0)),"")</f>
        <v>Lucidchart</v>
      </c>
      <c r="C122" s="2" t="s">
        <v>378</v>
      </c>
      <c r="D122" s="2" t="s">
        <v>373</v>
      </c>
      <c r="E122" s="2" t="s">
        <v>568</v>
      </c>
      <c r="F122" s="2" t="s">
        <v>243</v>
      </c>
      <c r="G122" s="2">
        <v>3</v>
      </c>
      <c r="H122" s="4" t="s">
        <v>721</v>
      </c>
      <c r="I122" s="2" t="s">
        <v>380</v>
      </c>
      <c r="J122" s="2">
        <v>3</v>
      </c>
      <c r="K122" s="2" t="s">
        <v>376</v>
      </c>
      <c r="L122" s="2" t="s">
        <v>381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8.5">
      <c r="A123" s="2" t="s">
        <v>58</v>
      </c>
      <c r="B123" s="2" t="str">
        <f>IFERROR(INDEX('01_Компании'!$B$4:$B$25,MATCH(A123,'01_Компании'!$A$4:$A$25,0)),"")</f>
        <v>Lucidchart</v>
      </c>
      <c r="C123" s="2" t="s">
        <v>382</v>
      </c>
      <c r="D123" s="2" t="s">
        <v>373</v>
      </c>
      <c r="E123" s="2" t="s">
        <v>569</v>
      </c>
      <c r="F123" s="2" t="s">
        <v>245</v>
      </c>
      <c r="G123" s="2">
        <v>3</v>
      </c>
      <c r="H123" s="4" t="s">
        <v>721</v>
      </c>
      <c r="I123" s="2" t="s">
        <v>384</v>
      </c>
      <c r="J123" s="2">
        <v>3</v>
      </c>
      <c r="K123" s="2" t="s">
        <v>376</v>
      </c>
      <c r="L123" s="2" t="s">
        <v>385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8.5">
      <c r="A124" s="2" t="s">
        <v>58</v>
      </c>
      <c r="B124" s="2" t="str">
        <f>IFERROR(INDEX('01_Компании'!$B$4:$B$25,MATCH(A124,'01_Компании'!$A$4:$A$25,0)),"")</f>
        <v>Lucidchart</v>
      </c>
      <c r="C124" s="2" t="s">
        <v>386</v>
      </c>
      <c r="D124" s="2" t="s">
        <v>387</v>
      </c>
      <c r="E124" s="2" t="s">
        <v>570</v>
      </c>
      <c r="F124" s="2" t="s">
        <v>245</v>
      </c>
      <c r="G124" s="2">
        <v>3</v>
      </c>
      <c r="H124" s="4" t="s">
        <v>721</v>
      </c>
      <c r="I124" s="2" t="s">
        <v>389</v>
      </c>
      <c r="J124" s="2">
        <v>4</v>
      </c>
      <c r="K124" s="2" t="s">
        <v>430</v>
      </c>
      <c r="L124" s="2" t="s">
        <v>391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42.75">
      <c r="A125" s="2" t="s">
        <v>58</v>
      </c>
      <c r="B125" s="2" t="str">
        <f>IFERROR(INDEX('01_Компании'!$B$4:$B$25,MATCH(A125,'01_Компании'!$A$4:$A$25,0)),"")</f>
        <v>Lucidchart</v>
      </c>
      <c r="C125" s="2" t="s">
        <v>392</v>
      </c>
      <c r="D125" s="2" t="s">
        <v>571</v>
      </c>
      <c r="E125" s="2" t="s">
        <v>728</v>
      </c>
      <c r="F125" s="2" t="s">
        <v>239</v>
      </c>
      <c r="G125" s="2">
        <v>5</v>
      </c>
      <c r="H125" s="4" t="s">
        <v>721</v>
      </c>
      <c r="I125" s="2" t="s">
        <v>725</v>
      </c>
      <c r="J125" s="2">
        <v>4</v>
      </c>
      <c r="K125" s="2" t="s">
        <v>394</v>
      </c>
      <c r="L125" s="2" t="s">
        <v>395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8.5">
      <c r="A126" s="2" t="s">
        <v>58</v>
      </c>
      <c r="B126" s="2" t="str">
        <f>IFERROR(INDEX('01_Компании'!$B$4:$B$25,MATCH(A126,'01_Компании'!$A$4:$A$25,0)),"")</f>
        <v>Lucidchart</v>
      </c>
      <c r="C126" s="2" t="s">
        <v>396</v>
      </c>
      <c r="D126" s="2" t="s">
        <v>572</v>
      </c>
      <c r="E126" s="2" t="s">
        <v>573</v>
      </c>
      <c r="F126" s="2" t="s">
        <v>246</v>
      </c>
      <c r="G126" s="2">
        <v>3</v>
      </c>
      <c r="H126" s="4" t="s">
        <v>721</v>
      </c>
      <c r="I126" s="2" t="s">
        <v>399</v>
      </c>
      <c r="J126" s="2">
        <v>3</v>
      </c>
      <c r="K126" s="2" t="s">
        <v>400</v>
      </c>
      <c r="L126" s="2" t="s">
        <v>401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8.5">
      <c r="A127" s="2" t="s">
        <v>58</v>
      </c>
      <c r="B127" s="2" t="str">
        <f>IFERROR(INDEX('01_Компании'!$B$4:$B$25,MATCH(A127,'01_Компании'!$A$4:$A$25,0)),"")</f>
        <v>Lucidchart</v>
      </c>
      <c r="C127" s="2" t="s">
        <v>407</v>
      </c>
      <c r="D127" s="2" t="s">
        <v>574</v>
      </c>
      <c r="E127" s="2" t="s">
        <v>575</v>
      </c>
      <c r="F127" s="2" t="s">
        <v>246</v>
      </c>
      <c r="G127" s="2">
        <v>2</v>
      </c>
      <c r="H127" s="4" t="s">
        <v>721</v>
      </c>
      <c r="I127" s="2" t="s">
        <v>410</v>
      </c>
      <c r="J127" s="2">
        <v>4</v>
      </c>
      <c r="K127" s="2" t="s">
        <v>411</v>
      </c>
      <c r="L127" s="2" t="s">
        <v>412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8.5">
      <c r="A128" s="2" t="s">
        <v>58</v>
      </c>
      <c r="B128" s="2" t="str">
        <f>IFERROR(INDEX('01_Компании'!$B$4:$B$25,MATCH(A128,'01_Компании'!$A$4:$A$25,0)),"")</f>
        <v>Lucidchart</v>
      </c>
      <c r="C128" s="2" t="s">
        <v>513</v>
      </c>
      <c r="D128" s="2" t="s">
        <v>564</v>
      </c>
      <c r="E128" s="2" t="s">
        <v>515</v>
      </c>
      <c r="F128" s="2" t="s">
        <v>246</v>
      </c>
      <c r="G128" s="2">
        <v>1</v>
      </c>
      <c r="H128" s="4" t="s">
        <v>721</v>
      </c>
      <c r="I128" s="2" t="s">
        <v>516</v>
      </c>
      <c r="J128" s="2">
        <v>2</v>
      </c>
      <c r="K128" s="2" t="s">
        <v>415</v>
      </c>
      <c r="L128" s="2" t="s">
        <v>791</v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71.25">
      <c r="A129" s="2" t="s">
        <v>59</v>
      </c>
      <c r="B129" s="2" t="str">
        <f>IFERROR(INDEX('01_Компании'!$B$4:$B$25,MATCH(A129,'01_Компании'!$A$4:$A$25,0)),"")</f>
        <v>Creately</v>
      </c>
      <c r="C129" s="2" t="s">
        <v>366</v>
      </c>
      <c r="D129" s="2" t="s">
        <v>576</v>
      </c>
      <c r="E129" s="2" t="s">
        <v>577</v>
      </c>
      <c r="F129" s="2" t="s">
        <v>233</v>
      </c>
      <c r="G129" s="2">
        <v>4</v>
      </c>
      <c r="H129" s="4" t="s">
        <v>721</v>
      </c>
      <c r="I129" s="2" t="s">
        <v>578</v>
      </c>
      <c r="J129" s="2">
        <v>4</v>
      </c>
      <c r="K129" s="2" t="s">
        <v>370</v>
      </c>
      <c r="L129" s="2" t="s">
        <v>371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42.75">
      <c r="A130" s="2" t="s">
        <v>59</v>
      </c>
      <c r="B130" s="2" t="str">
        <f>IFERROR(INDEX('01_Компании'!$B$4:$B$25,MATCH(A130,'01_Компании'!$A$4:$A$25,0)),"")</f>
        <v>Creately</v>
      </c>
      <c r="C130" s="2" t="s">
        <v>372</v>
      </c>
      <c r="D130" s="2" t="s">
        <v>373</v>
      </c>
      <c r="E130" s="2" t="s">
        <v>579</v>
      </c>
      <c r="F130" s="2" t="s">
        <v>246</v>
      </c>
      <c r="G130" s="2">
        <v>3</v>
      </c>
      <c r="H130" s="4" t="s">
        <v>721</v>
      </c>
      <c r="I130" s="2" t="s">
        <v>375</v>
      </c>
      <c r="J130" s="2">
        <v>3</v>
      </c>
      <c r="K130" s="2" t="s">
        <v>376</v>
      </c>
      <c r="L130" s="2" t="s">
        <v>377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8.5">
      <c r="A131" s="2" t="s">
        <v>59</v>
      </c>
      <c r="B131" s="2" t="str">
        <f>IFERROR(INDEX('01_Компании'!$B$4:$B$25,MATCH(A131,'01_Компании'!$A$4:$A$25,0)),"")</f>
        <v>Creately</v>
      </c>
      <c r="C131" s="2" t="s">
        <v>378</v>
      </c>
      <c r="D131" s="2" t="s">
        <v>373</v>
      </c>
      <c r="E131" s="2" t="s">
        <v>580</v>
      </c>
      <c r="F131" s="2" t="s">
        <v>243</v>
      </c>
      <c r="G131" s="2">
        <v>3</v>
      </c>
      <c r="H131" s="4" t="s">
        <v>721</v>
      </c>
      <c r="I131" s="2" t="s">
        <v>380</v>
      </c>
      <c r="J131" s="2">
        <v>3</v>
      </c>
      <c r="K131" s="2" t="s">
        <v>376</v>
      </c>
      <c r="L131" s="2" t="s">
        <v>381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8.5">
      <c r="A132" s="2" t="s">
        <v>59</v>
      </c>
      <c r="B132" s="2" t="str">
        <f>IFERROR(INDEX('01_Компании'!$B$4:$B$25,MATCH(A132,'01_Компании'!$A$4:$A$25,0)),"")</f>
        <v>Creately</v>
      </c>
      <c r="C132" s="2" t="s">
        <v>382</v>
      </c>
      <c r="D132" s="2" t="s">
        <v>373</v>
      </c>
      <c r="E132" s="2" t="s">
        <v>581</v>
      </c>
      <c r="F132" s="2" t="s">
        <v>245</v>
      </c>
      <c r="G132" s="2">
        <v>3</v>
      </c>
      <c r="H132" s="4" t="s">
        <v>721</v>
      </c>
      <c r="I132" s="2" t="s">
        <v>384</v>
      </c>
      <c r="J132" s="2">
        <v>3</v>
      </c>
      <c r="K132" s="2" t="s">
        <v>376</v>
      </c>
      <c r="L132" s="2" t="s">
        <v>385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8.5">
      <c r="A133" s="2" t="s">
        <v>59</v>
      </c>
      <c r="B133" s="2" t="str">
        <f>IFERROR(INDEX('01_Компании'!$B$4:$B$25,MATCH(A133,'01_Компании'!$A$4:$A$25,0)),"")</f>
        <v>Creately</v>
      </c>
      <c r="C133" s="2" t="s">
        <v>386</v>
      </c>
      <c r="D133" s="2" t="s">
        <v>387</v>
      </c>
      <c r="E133" s="2" t="s">
        <v>582</v>
      </c>
      <c r="F133" s="2" t="s">
        <v>245</v>
      </c>
      <c r="G133" s="2">
        <v>3</v>
      </c>
      <c r="H133" s="4" t="s">
        <v>721</v>
      </c>
      <c r="I133" s="2" t="s">
        <v>389</v>
      </c>
      <c r="J133" s="2">
        <v>4</v>
      </c>
      <c r="K133" s="2" t="s">
        <v>430</v>
      </c>
      <c r="L133" s="2" t="s">
        <v>391</v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8.5">
      <c r="A134" s="2" t="s">
        <v>59</v>
      </c>
      <c r="B134" s="2" t="str">
        <f>IFERROR(INDEX('01_Компании'!$B$4:$B$25,MATCH(A134,'01_Компании'!$A$4:$A$25,0)),"")</f>
        <v>Creately</v>
      </c>
      <c r="C134" s="2" t="s">
        <v>392</v>
      </c>
      <c r="D134" s="2" t="s">
        <v>583</v>
      </c>
      <c r="E134" s="2" t="s">
        <v>729</v>
      </c>
      <c r="F134" s="2" t="s">
        <v>239</v>
      </c>
      <c r="G134" s="2">
        <v>5</v>
      </c>
      <c r="H134" s="4" t="s">
        <v>721</v>
      </c>
      <c r="I134" s="2" t="s">
        <v>725</v>
      </c>
      <c r="J134" s="2">
        <v>4</v>
      </c>
      <c r="K134" s="2" t="s">
        <v>394</v>
      </c>
      <c r="L134" s="2" t="s">
        <v>395</v>
      </c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8.5">
      <c r="A135" s="2" t="s">
        <v>59</v>
      </c>
      <c r="B135" s="2" t="str">
        <f>IFERROR(INDEX('01_Компании'!$B$4:$B$25,MATCH(A135,'01_Компании'!$A$4:$A$25,0)),"")</f>
        <v>Creately</v>
      </c>
      <c r="C135" s="2" t="s">
        <v>396</v>
      </c>
      <c r="D135" s="2" t="s">
        <v>584</v>
      </c>
      <c r="E135" s="2" t="s">
        <v>585</v>
      </c>
      <c r="F135" s="2" t="s">
        <v>246</v>
      </c>
      <c r="G135" s="2">
        <v>3</v>
      </c>
      <c r="H135" s="4" t="s">
        <v>721</v>
      </c>
      <c r="I135" s="2" t="s">
        <v>399</v>
      </c>
      <c r="J135" s="2">
        <v>3</v>
      </c>
      <c r="K135" s="2" t="s">
        <v>400</v>
      </c>
      <c r="L135" s="2" t="s">
        <v>401</v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8.5">
      <c r="A136" s="2" t="s">
        <v>59</v>
      </c>
      <c r="B136" s="2" t="str">
        <f>IFERROR(INDEX('01_Компании'!$B$4:$B$25,MATCH(A136,'01_Компании'!$A$4:$A$25,0)),"")</f>
        <v>Creately</v>
      </c>
      <c r="C136" s="2" t="s">
        <v>407</v>
      </c>
      <c r="D136" s="2" t="s">
        <v>586</v>
      </c>
      <c r="E136" s="2" t="s">
        <v>587</v>
      </c>
      <c r="F136" s="2" t="s">
        <v>246</v>
      </c>
      <c r="G136" s="2">
        <v>2</v>
      </c>
      <c r="H136" s="4" t="s">
        <v>721</v>
      </c>
      <c r="I136" s="2" t="s">
        <v>410</v>
      </c>
      <c r="J136" s="2">
        <v>4</v>
      </c>
      <c r="K136" s="2" t="s">
        <v>411</v>
      </c>
      <c r="L136" s="2" t="s">
        <v>412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42.75">
      <c r="A137" s="2" t="s">
        <v>59</v>
      </c>
      <c r="B137" s="2" t="str">
        <f>IFERROR(INDEX('01_Компании'!$B$4:$B$25,MATCH(A137,'01_Компании'!$A$4:$A$25,0)),"")</f>
        <v>Creately</v>
      </c>
      <c r="C137" s="2" t="s">
        <v>413</v>
      </c>
      <c r="D137" s="2" t="s">
        <v>576</v>
      </c>
      <c r="E137" s="2" t="s">
        <v>588</v>
      </c>
      <c r="F137" s="2" t="s">
        <v>236</v>
      </c>
      <c r="G137" s="2">
        <v>2</v>
      </c>
      <c r="H137" s="4" t="s">
        <v>721</v>
      </c>
      <c r="I137" s="2" t="s">
        <v>883</v>
      </c>
      <c r="J137" s="2">
        <v>3</v>
      </c>
      <c r="K137" s="2" t="s">
        <v>415</v>
      </c>
      <c r="L137" s="2" t="s">
        <v>416</v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57">
      <c r="A138" s="2" t="s">
        <v>60</v>
      </c>
      <c r="B138" s="2" t="str">
        <f>IFERROR(INDEX('01_Компании'!$B$4:$B$25,MATCH(A138,'01_Компании'!$A$4:$A$25,0)),"")</f>
        <v>Miro</v>
      </c>
      <c r="C138" s="2" t="s">
        <v>366</v>
      </c>
      <c r="D138" s="2" t="s">
        <v>589</v>
      </c>
      <c r="E138" s="2" t="s">
        <v>590</v>
      </c>
      <c r="F138" s="2" t="s">
        <v>233</v>
      </c>
      <c r="G138" s="2">
        <v>4</v>
      </c>
      <c r="H138" s="4" t="s">
        <v>721</v>
      </c>
      <c r="I138" s="2" t="s">
        <v>591</v>
      </c>
      <c r="J138" s="2">
        <v>4</v>
      </c>
      <c r="K138" s="2" t="s">
        <v>370</v>
      </c>
      <c r="L138" s="2" t="s">
        <v>371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42.75">
      <c r="A139" s="2" t="s">
        <v>60</v>
      </c>
      <c r="B139" s="2" t="str">
        <f>IFERROR(INDEX('01_Компании'!$B$4:$B$25,MATCH(A139,'01_Компании'!$A$4:$A$25,0)),"")</f>
        <v>Miro</v>
      </c>
      <c r="C139" s="2" t="s">
        <v>372</v>
      </c>
      <c r="D139" s="2" t="s">
        <v>373</v>
      </c>
      <c r="E139" s="2" t="s">
        <v>592</v>
      </c>
      <c r="F139" s="2" t="s">
        <v>246</v>
      </c>
      <c r="G139" s="2">
        <v>3</v>
      </c>
      <c r="H139" s="4" t="s">
        <v>721</v>
      </c>
      <c r="I139" s="2" t="s">
        <v>375</v>
      </c>
      <c r="J139" s="2">
        <v>3</v>
      </c>
      <c r="K139" s="2" t="s">
        <v>376</v>
      </c>
      <c r="L139" s="2" t="s">
        <v>377</v>
      </c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8.5">
      <c r="A140" s="2" t="s">
        <v>60</v>
      </c>
      <c r="B140" s="2" t="str">
        <f>IFERROR(INDEX('01_Компании'!$B$4:$B$25,MATCH(A140,'01_Компании'!$A$4:$A$25,0)),"")</f>
        <v>Miro</v>
      </c>
      <c r="C140" s="2" t="s">
        <v>378</v>
      </c>
      <c r="D140" s="2" t="s">
        <v>373</v>
      </c>
      <c r="E140" s="2" t="s">
        <v>593</v>
      </c>
      <c r="F140" s="2" t="s">
        <v>243</v>
      </c>
      <c r="G140" s="2">
        <v>3</v>
      </c>
      <c r="H140" s="4" t="s">
        <v>721</v>
      </c>
      <c r="I140" s="2" t="s">
        <v>380</v>
      </c>
      <c r="J140" s="2">
        <v>3</v>
      </c>
      <c r="K140" s="2" t="s">
        <v>376</v>
      </c>
      <c r="L140" s="2" t="s">
        <v>381</v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8.5">
      <c r="A141" s="2" t="s">
        <v>60</v>
      </c>
      <c r="B141" s="2" t="str">
        <f>IFERROR(INDEX('01_Компании'!$B$4:$B$25,MATCH(A141,'01_Компании'!$A$4:$A$25,0)),"")</f>
        <v>Miro</v>
      </c>
      <c r="C141" s="2" t="s">
        <v>382</v>
      </c>
      <c r="D141" s="2" t="s">
        <v>373</v>
      </c>
      <c r="E141" s="2" t="s">
        <v>594</v>
      </c>
      <c r="F141" s="2" t="s">
        <v>245</v>
      </c>
      <c r="G141" s="2">
        <v>3</v>
      </c>
      <c r="H141" s="4" t="s">
        <v>721</v>
      </c>
      <c r="I141" s="2" t="s">
        <v>384</v>
      </c>
      <c r="J141" s="2">
        <v>3</v>
      </c>
      <c r="K141" s="2" t="s">
        <v>376</v>
      </c>
      <c r="L141" s="2" t="s">
        <v>385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8.5">
      <c r="A142" s="2" t="s">
        <v>60</v>
      </c>
      <c r="B142" s="2" t="str">
        <f>IFERROR(INDEX('01_Компании'!$B$4:$B$25,MATCH(A142,'01_Компании'!$A$4:$A$25,0)),"")</f>
        <v>Miro</v>
      </c>
      <c r="C142" s="2" t="s">
        <v>386</v>
      </c>
      <c r="D142" s="2" t="s">
        <v>387</v>
      </c>
      <c r="E142" s="2" t="s">
        <v>595</v>
      </c>
      <c r="F142" s="2" t="s">
        <v>245</v>
      </c>
      <c r="G142" s="2">
        <v>3</v>
      </c>
      <c r="H142" s="4" t="s">
        <v>721</v>
      </c>
      <c r="I142" s="2" t="s">
        <v>389</v>
      </c>
      <c r="J142" s="2">
        <v>4</v>
      </c>
      <c r="K142" s="2" t="s">
        <v>430</v>
      </c>
      <c r="L142" s="2" t="s">
        <v>391</v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8.5">
      <c r="A143" s="2" t="s">
        <v>60</v>
      </c>
      <c r="B143" s="2" t="str">
        <f>IFERROR(INDEX('01_Компании'!$B$4:$B$25,MATCH(A143,'01_Компании'!$A$4:$A$25,0)),"")</f>
        <v>Miro</v>
      </c>
      <c r="C143" s="2" t="s">
        <v>392</v>
      </c>
      <c r="D143" s="2" t="s">
        <v>596</v>
      </c>
      <c r="E143" s="2" t="s">
        <v>730</v>
      </c>
      <c r="F143" s="2" t="s">
        <v>239</v>
      </c>
      <c r="G143" s="2">
        <v>5</v>
      </c>
      <c r="H143" s="4" t="s">
        <v>721</v>
      </c>
      <c r="I143" s="2" t="s">
        <v>725</v>
      </c>
      <c r="J143" s="2">
        <v>4</v>
      </c>
      <c r="K143" s="2" t="s">
        <v>394</v>
      </c>
      <c r="L143" s="2" t="s">
        <v>395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8.5">
      <c r="A144" s="2" t="s">
        <v>60</v>
      </c>
      <c r="B144" s="2" t="str">
        <f>IFERROR(INDEX('01_Компании'!$B$4:$B$25,MATCH(A144,'01_Компании'!$A$4:$A$25,0)),"")</f>
        <v>Miro</v>
      </c>
      <c r="C144" s="2" t="s">
        <v>396</v>
      </c>
      <c r="D144" s="2" t="s">
        <v>597</v>
      </c>
      <c r="E144" s="2" t="s">
        <v>598</v>
      </c>
      <c r="F144" s="2" t="s">
        <v>246</v>
      </c>
      <c r="G144" s="2">
        <v>3</v>
      </c>
      <c r="H144" s="4" t="s">
        <v>721</v>
      </c>
      <c r="I144" s="2" t="s">
        <v>399</v>
      </c>
      <c r="J144" s="2">
        <v>3</v>
      </c>
      <c r="K144" s="2" t="s">
        <v>400</v>
      </c>
      <c r="L144" s="2" t="s">
        <v>401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8.5">
      <c r="A145" s="2" t="s">
        <v>60</v>
      </c>
      <c r="B145" s="2" t="str">
        <f>IFERROR(INDEX('01_Компании'!$B$4:$B$25,MATCH(A145,'01_Компании'!$A$4:$A$25,0)),"")</f>
        <v>Miro</v>
      </c>
      <c r="C145" s="2" t="s">
        <v>407</v>
      </c>
      <c r="D145" s="2" t="s">
        <v>599</v>
      </c>
      <c r="E145" s="2" t="s">
        <v>600</v>
      </c>
      <c r="F145" s="2" t="s">
        <v>246</v>
      </c>
      <c r="G145" s="2">
        <v>2</v>
      </c>
      <c r="H145" s="4" t="s">
        <v>721</v>
      </c>
      <c r="I145" s="2" t="s">
        <v>410</v>
      </c>
      <c r="J145" s="2">
        <v>4</v>
      </c>
      <c r="K145" s="2" t="s">
        <v>411</v>
      </c>
      <c r="L145" s="2" t="s">
        <v>412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42.75">
      <c r="A146" s="2" t="s">
        <v>60</v>
      </c>
      <c r="B146" s="2" t="str">
        <f>IFERROR(INDEX('01_Компании'!$B$4:$B$25,MATCH(A146,'01_Компании'!$A$4:$A$25,0)),"")</f>
        <v>Miro</v>
      </c>
      <c r="C146" s="2" t="s">
        <v>413</v>
      </c>
      <c r="D146" s="2" t="s">
        <v>589</v>
      </c>
      <c r="E146" s="2" t="s">
        <v>601</v>
      </c>
      <c r="F146" s="2" t="s">
        <v>236</v>
      </c>
      <c r="G146" s="2">
        <v>2</v>
      </c>
      <c r="H146" s="4" t="s">
        <v>721</v>
      </c>
      <c r="I146" s="2" t="s">
        <v>883</v>
      </c>
      <c r="J146" s="2">
        <v>3</v>
      </c>
      <c r="K146" s="2" t="s">
        <v>415</v>
      </c>
      <c r="L146" s="2" t="s">
        <v>416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42.75">
      <c r="A147" s="2" t="s">
        <v>61</v>
      </c>
      <c r="B147" s="2" t="str">
        <f>IFERROR(INDEX('01_Компании'!$B$4:$B$25,MATCH(A147,'01_Компании'!$A$4:$A$25,0)),"")</f>
        <v>Excalidraw</v>
      </c>
      <c r="C147" s="2" t="s">
        <v>366</v>
      </c>
      <c r="D147" s="2" t="s">
        <v>602</v>
      </c>
      <c r="E147" s="2" t="s">
        <v>603</v>
      </c>
      <c r="F147" s="2" t="s">
        <v>233</v>
      </c>
      <c r="G147" s="2">
        <v>4</v>
      </c>
      <c r="H147" s="4" t="s">
        <v>721</v>
      </c>
      <c r="I147" s="2" t="s">
        <v>604</v>
      </c>
      <c r="J147" s="2">
        <v>4</v>
      </c>
      <c r="K147" s="2" t="s">
        <v>370</v>
      </c>
      <c r="L147" s="2" t="s">
        <v>371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42.75">
      <c r="A148" s="2" t="s">
        <v>61</v>
      </c>
      <c r="B148" s="2" t="str">
        <f>IFERROR(INDEX('01_Компании'!$B$4:$B$25,MATCH(A148,'01_Компании'!$A$4:$A$25,0)),"")</f>
        <v>Excalidraw</v>
      </c>
      <c r="C148" s="2" t="s">
        <v>372</v>
      </c>
      <c r="D148" s="2" t="s">
        <v>373</v>
      </c>
      <c r="E148" s="2" t="s">
        <v>605</v>
      </c>
      <c r="F148" s="2" t="s">
        <v>246</v>
      </c>
      <c r="G148" s="2">
        <v>3</v>
      </c>
      <c r="H148" s="4" t="s">
        <v>721</v>
      </c>
      <c r="I148" s="2" t="s">
        <v>375</v>
      </c>
      <c r="J148" s="2">
        <v>3</v>
      </c>
      <c r="K148" s="2" t="s">
        <v>376</v>
      </c>
      <c r="L148" s="2" t="s">
        <v>377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8.5">
      <c r="A149" s="2" t="s">
        <v>61</v>
      </c>
      <c r="B149" s="2" t="str">
        <f>IFERROR(INDEX('01_Компании'!$B$4:$B$25,MATCH(A149,'01_Компании'!$A$4:$A$25,0)),"")</f>
        <v>Excalidraw</v>
      </c>
      <c r="C149" s="2" t="s">
        <v>378</v>
      </c>
      <c r="D149" s="2" t="s">
        <v>373</v>
      </c>
      <c r="E149" s="2" t="s">
        <v>606</v>
      </c>
      <c r="F149" s="2" t="s">
        <v>243</v>
      </c>
      <c r="G149" s="2">
        <v>3</v>
      </c>
      <c r="H149" s="4" t="s">
        <v>721</v>
      </c>
      <c r="I149" s="2" t="s">
        <v>380</v>
      </c>
      <c r="J149" s="2">
        <v>3</v>
      </c>
      <c r="K149" s="2" t="s">
        <v>376</v>
      </c>
      <c r="L149" s="2" t="s">
        <v>381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8.5">
      <c r="A150" s="2" t="s">
        <v>61</v>
      </c>
      <c r="B150" s="2" t="str">
        <f>IFERROR(INDEX('01_Компании'!$B$4:$B$25,MATCH(A150,'01_Компании'!$A$4:$A$25,0)),"")</f>
        <v>Excalidraw</v>
      </c>
      <c r="C150" s="2" t="s">
        <v>382</v>
      </c>
      <c r="D150" s="2" t="s">
        <v>373</v>
      </c>
      <c r="E150" s="2" t="s">
        <v>607</v>
      </c>
      <c r="F150" s="2" t="s">
        <v>245</v>
      </c>
      <c r="G150" s="2">
        <v>3</v>
      </c>
      <c r="H150" s="4" t="s">
        <v>721</v>
      </c>
      <c r="I150" s="2" t="s">
        <v>384</v>
      </c>
      <c r="J150" s="2">
        <v>3</v>
      </c>
      <c r="K150" s="2" t="s">
        <v>376</v>
      </c>
      <c r="L150" s="2" t="s">
        <v>385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8.5">
      <c r="A151" s="2" t="s">
        <v>61</v>
      </c>
      <c r="B151" s="2" t="str">
        <f>IFERROR(INDEX('01_Компании'!$B$4:$B$25,MATCH(A151,'01_Компании'!$A$4:$A$25,0)),"")</f>
        <v>Excalidraw</v>
      </c>
      <c r="C151" s="2" t="s">
        <v>386</v>
      </c>
      <c r="D151" s="2" t="s">
        <v>387</v>
      </c>
      <c r="E151" s="2" t="s">
        <v>608</v>
      </c>
      <c r="F151" s="2" t="s">
        <v>245</v>
      </c>
      <c r="G151" s="2">
        <v>3</v>
      </c>
      <c r="H151" s="4" t="s">
        <v>721</v>
      </c>
      <c r="I151" s="2" t="s">
        <v>389</v>
      </c>
      <c r="J151" s="2">
        <v>4</v>
      </c>
      <c r="K151" s="2" t="s">
        <v>430</v>
      </c>
      <c r="L151" s="2" t="s">
        <v>391</v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8.5">
      <c r="A152" s="2" t="s">
        <v>61</v>
      </c>
      <c r="B152" s="2" t="str">
        <f>IFERROR(INDEX('01_Компании'!$B$4:$B$25,MATCH(A152,'01_Компании'!$A$4:$A$25,0)),"")</f>
        <v>Excalidraw</v>
      </c>
      <c r="C152" s="2" t="s">
        <v>402</v>
      </c>
      <c r="D152" s="2" t="s">
        <v>609</v>
      </c>
      <c r="E152" s="2" t="s">
        <v>891</v>
      </c>
      <c r="F152" s="2" t="s">
        <v>246</v>
      </c>
      <c r="G152" s="2">
        <v>3</v>
      </c>
      <c r="H152" s="4" t="s">
        <v>721</v>
      </c>
      <c r="I152" s="2" t="s">
        <v>404</v>
      </c>
      <c r="J152" s="2">
        <v>5</v>
      </c>
      <c r="K152" s="2" t="s">
        <v>405</v>
      </c>
      <c r="L152" s="2" t="s">
        <v>406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28.5">
      <c r="A153" s="2" t="s">
        <v>61</v>
      </c>
      <c r="B153" s="2" t="str">
        <f>IFERROR(INDEX('01_Компании'!$B$4:$B$25,MATCH(A153,'01_Компании'!$A$4:$A$25,0)),"")</f>
        <v>Excalidraw</v>
      </c>
      <c r="C153" s="2" t="s">
        <v>407</v>
      </c>
      <c r="D153" s="2" t="s">
        <v>610</v>
      </c>
      <c r="E153" s="2" t="s">
        <v>611</v>
      </c>
      <c r="F153" s="2" t="s">
        <v>246</v>
      </c>
      <c r="G153" s="2">
        <v>2</v>
      </c>
      <c r="H153" s="4" t="s">
        <v>721</v>
      </c>
      <c r="I153" s="2" t="s">
        <v>410</v>
      </c>
      <c r="J153" s="2">
        <v>4</v>
      </c>
      <c r="K153" s="2" t="s">
        <v>411</v>
      </c>
      <c r="L153" s="2" t="s">
        <v>412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42.75">
      <c r="A154" s="2" t="s">
        <v>61</v>
      </c>
      <c r="B154" s="2" t="str">
        <f>IFERROR(INDEX('01_Компании'!$B$4:$B$25,MATCH(A154,'01_Компании'!$A$4:$A$25,0)),"")</f>
        <v>Excalidraw</v>
      </c>
      <c r="C154" s="2" t="s">
        <v>413</v>
      </c>
      <c r="D154" s="2" t="s">
        <v>602</v>
      </c>
      <c r="E154" s="2" t="s">
        <v>612</v>
      </c>
      <c r="F154" s="2" t="s">
        <v>236</v>
      </c>
      <c r="G154" s="2">
        <v>2</v>
      </c>
      <c r="H154" s="4" t="s">
        <v>721</v>
      </c>
      <c r="I154" s="2" t="s">
        <v>883</v>
      </c>
      <c r="J154" s="2">
        <v>3</v>
      </c>
      <c r="K154" s="2" t="s">
        <v>415</v>
      </c>
      <c r="L154" s="2" t="s">
        <v>416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57">
      <c r="A155" s="2" t="s">
        <v>62</v>
      </c>
      <c r="B155" s="2" t="str">
        <f>IFERROR(INDEX('01_Компании'!$B$4:$B$25,MATCH(A155,'01_Компании'!$A$4:$A$25,0)),"")</f>
        <v>dbdiagram.io</v>
      </c>
      <c r="C155" s="2" t="s">
        <v>366</v>
      </c>
      <c r="D155" s="2" t="s">
        <v>613</v>
      </c>
      <c r="E155" s="2" t="s">
        <v>614</v>
      </c>
      <c r="F155" s="2" t="s">
        <v>233</v>
      </c>
      <c r="G155" s="2">
        <v>4</v>
      </c>
      <c r="H155" s="4" t="s">
        <v>721</v>
      </c>
      <c r="I155" s="2" t="s">
        <v>615</v>
      </c>
      <c r="J155" s="2">
        <v>4</v>
      </c>
      <c r="K155" s="2" t="s">
        <v>370</v>
      </c>
      <c r="L155" s="2" t="s">
        <v>371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42.75">
      <c r="A156" s="2" t="s">
        <v>62</v>
      </c>
      <c r="B156" s="2" t="str">
        <f>IFERROR(INDEX('01_Компании'!$B$4:$B$25,MATCH(A156,'01_Компании'!$A$4:$A$25,0)),"")</f>
        <v>dbdiagram.io</v>
      </c>
      <c r="C156" s="2" t="s">
        <v>372</v>
      </c>
      <c r="D156" s="2" t="s">
        <v>373</v>
      </c>
      <c r="E156" s="2" t="s">
        <v>616</v>
      </c>
      <c r="F156" s="2" t="s">
        <v>246</v>
      </c>
      <c r="G156" s="2">
        <v>3</v>
      </c>
      <c r="H156" s="4" t="s">
        <v>721</v>
      </c>
      <c r="I156" s="2" t="s">
        <v>375</v>
      </c>
      <c r="J156" s="2">
        <v>3</v>
      </c>
      <c r="K156" s="2" t="s">
        <v>376</v>
      </c>
      <c r="L156" s="2" t="s">
        <v>377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8.5">
      <c r="A157" s="2" t="s">
        <v>62</v>
      </c>
      <c r="B157" s="2" t="str">
        <f>IFERROR(INDEX('01_Компании'!$B$4:$B$25,MATCH(A157,'01_Компании'!$A$4:$A$25,0)),"")</f>
        <v>dbdiagram.io</v>
      </c>
      <c r="C157" s="2" t="s">
        <v>378</v>
      </c>
      <c r="D157" s="2" t="s">
        <v>373</v>
      </c>
      <c r="E157" s="2" t="s">
        <v>617</v>
      </c>
      <c r="F157" s="2" t="s">
        <v>243</v>
      </c>
      <c r="G157" s="2">
        <v>3</v>
      </c>
      <c r="H157" s="4" t="s">
        <v>721</v>
      </c>
      <c r="I157" s="2" t="s">
        <v>380</v>
      </c>
      <c r="J157" s="2">
        <v>3</v>
      </c>
      <c r="K157" s="2" t="s">
        <v>376</v>
      </c>
      <c r="L157" s="2" t="s">
        <v>381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8.5">
      <c r="A158" s="2" t="s">
        <v>62</v>
      </c>
      <c r="B158" s="2" t="str">
        <f>IFERROR(INDEX('01_Компании'!$B$4:$B$25,MATCH(A158,'01_Компании'!$A$4:$A$25,0)),"")</f>
        <v>dbdiagram.io</v>
      </c>
      <c r="C158" s="2" t="s">
        <v>382</v>
      </c>
      <c r="D158" s="2" t="s">
        <v>373</v>
      </c>
      <c r="E158" s="2" t="s">
        <v>618</v>
      </c>
      <c r="F158" s="2" t="s">
        <v>245</v>
      </c>
      <c r="G158" s="2">
        <v>3</v>
      </c>
      <c r="H158" s="4" t="s">
        <v>721</v>
      </c>
      <c r="I158" s="2" t="s">
        <v>384</v>
      </c>
      <c r="J158" s="2">
        <v>3</v>
      </c>
      <c r="K158" s="2" t="s">
        <v>376</v>
      </c>
      <c r="L158" s="2" t="s">
        <v>385</v>
      </c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8.5">
      <c r="A159" s="2" t="s">
        <v>62</v>
      </c>
      <c r="B159" s="2" t="str">
        <f>IFERROR(INDEX('01_Компании'!$B$4:$B$25,MATCH(A159,'01_Компании'!$A$4:$A$25,0)),"")</f>
        <v>dbdiagram.io</v>
      </c>
      <c r="C159" s="2" t="s">
        <v>386</v>
      </c>
      <c r="D159" s="2" t="s">
        <v>387</v>
      </c>
      <c r="E159" s="2" t="s">
        <v>619</v>
      </c>
      <c r="F159" s="2" t="s">
        <v>245</v>
      </c>
      <c r="G159" s="2">
        <v>3</v>
      </c>
      <c r="H159" s="4" t="s">
        <v>721</v>
      </c>
      <c r="I159" s="2" t="s">
        <v>389</v>
      </c>
      <c r="J159" s="2">
        <v>4</v>
      </c>
      <c r="K159" s="2" t="s">
        <v>390</v>
      </c>
      <c r="L159" s="2" t="s">
        <v>391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8.5">
      <c r="A160" s="2" t="s">
        <v>62</v>
      </c>
      <c r="B160" s="2" t="str">
        <f>IFERROR(INDEX('01_Компании'!$B$4:$B$25,MATCH(A160,'01_Компании'!$A$4:$A$25,0)),"")</f>
        <v>dbdiagram.io</v>
      </c>
      <c r="C160" s="2" t="s">
        <v>392</v>
      </c>
      <c r="D160" s="2" t="s">
        <v>620</v>
      </c>
      <c r="E160" s="2" t="s">
        <v>731</v>
      </c>
      <c r="F160" s="2" t="s">
        <v>239</v>
      </c>
      <c r="G160" s="2">
        <v>5</v>
      </c>
      <c r="H160" s="4" t="s">
        <v>721</v>
      </c>
      <c r="I160" s="2" t="s">
        <v>725</v>
      </c>
      <c r="J160" s="2">
        <v>4</v>
      </c>
      <c r="K160" s="2" t="s">
        <v>394</v>
      </c>
      <c r="L160" s="2" t="s">
        <v>395</v>
      </c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8.5">
      <c r="A161" s="2" t="s">
        <v>62</v>
      </c>
      <c r="B161" s="2" t="str">
        <f>IFERROR(INDEX('01_Компании'!$B$4:$B$25,MATCH(A161,'01_Компании'!$A$4:$A$25,0)),"")</f>
        <v>dbdiagram.io</v>
      </c>
      <c r="C161" s="2" t="s">
        <v>402</v>
      </c>
      <c r="D161" s="2" t="s">
        <v>621</v>
      </c>
      <c r="E161" s="2" t="s">
        <v>892</v>
      </c>
      <c r="F161" s="2" t="s">
        <v>246</v>
      </c>
      <c r="G161" s="2">
        <v>3</v>
      </c>
      <c r="H161" s="4" t="s">
        <v>721</v>
      </c>
      <c r="I161" s="2" t="s">
        <v>404</v>
      </c>
      <c r="J161" s="2">
        <v>5</v>
      </c>
      <c r="K161" s="2" t="s">
        <v>405</v>
      </c>
      <c r="L161" s="2" t="s">
        <v>406</v>
      </c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8.5">
      <c r="A162" s="2" t="s">
        <v>62</v>
      </c>
      <c r="B162" s="2" t="str">
        <f>IFERROR(INDEX('01_Компании'!$B$4:$B$25,MATCH(A162,'01_Компании'!$A$4:$A$25,0)),"")</f>
        <v>dbdiagram.io</v>
      </c>
      <c r="C162" s="2" t="s">
        <v>407</v>
      </c>
      <c r="D162" s="2" t="s">
        <v>622</v>
      </c>
      <c r="E162" s="2" t="s">
        <v>623</v>
      </c>
      <c r="F162" s="2" t="s">
        <v>246</v>
      </c>
      <c r="G162" s="2">
        <v>2</v>
      </c>
      <c r="H162" s="4" t="s">
        <v>721</v>
      </c>
      <c r="I162" s="2" t="s">
        <v>410</v>
      </c>
      <c r="J162" s="2">
        <v>4</v>
      </c>
      <c r="K162" s="2" t="s">
        <v>411</v>
      </c>
      <c r="L162" s="2" t="s">
        <v>412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42.75">
      <c r="A163" s="2" t="s">
        <v>62</v>
      </c>
      <c r="B163" s="2" t="str">
        <f>IFERROR(INDEX('01_Компании'!$B$4:$B$25,MATCH(A163,'01_Компании'!$A$4:$A$25,0)),"")</f>
        <v>dbdiagram.io</v>
      </c>
      <c r="C163" s="2" t="s">
        <v>413</v>
      </c>
      <c r="D163" s="2" t="s">
        <v>613</v>
      </c>
      <c r="E163" s="2" t="s">
        <v>612</v>
      </c>
      <c r="F163" s="2" t="s">
        <v>236</v>
      </c>
      <c r="G163" s="2">
        <v>2</v>
      </c>
      <c r="H163" s="4" t="s">
        <v>721</v>
      </c>
      <c r="I163" s="2" t="s">
        <v>883</v>
      </c>
      <c r="J163" s="2">
        <v>3</v>
      </c>
      <c r="K163" s="2" t="s">
        <v>415</v>
      </c>
      <c r="L163" s="2" t="s">
        <v>416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57">
      <c r="A164" s="2" t="s">
        <v>63</v>
      </c>
      <c r="B164" s="2" t="str">
        <f>IFERROR(INDEX('01_Компании'!$B$4:$B$25,MATCH(A164,'01_Компании'!$A$4:$A$25,0)),"")</f>
        <v>DrawSQL</v>
      </c>
      <c r="C164" s="2" t="s">
        <v>366</v>
      </c>
      <c r="D164" s="2" t="s">
        <v>624</v>
      </c>
      <c r="E164" s="2" t="s">
        <v>724</v>
      </c>
      <c r="F164" s="2" t="s">
        <v>233</v>
      </c>
      <c r="G164" s="2">
        <v>4</v>
      </c>
      <c r="H164" s="4" t="s">
        <v>721</v>
      </c>
      <c r="I164" s="2" t="s">
        <v>625</v>
      </c>
      <c r="J164" s="2">
        <v>4</v>
      </c>
      <c r="K164" s="2" t="s">
        <v>370</v>
      </c>
      <c r="L164" s="2" t="s">
        <v>371</v>
      </c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42.75">
      <c r="A165" s="2" t="s">
        <v>63</v>
      </c>
      <c r="B165" s="2" t="str">
        <f>IFERROR(INDEX('01_Компании'!$B$4:$B$25,MATCH(A165,'01_Компании'!$A$4:$A$25,0)),"")</f>
        <v>DrawSQL</v>
      </c>
      <c r="C165" s="2" t="s">
        <v>372</v>
      </c>
      <c r="D165" s="2" t="s">
        <v>373</v>
      </c>
      <c r="E165" s="2" t="s">
        <v>626</v>
      </c>
      <c r="F165" s="2" t="s">
        <v>246</v>
      </c>
      <c r="G165" s="2">
        <v>3</v>
      </c>
      <c r="H165" s="4" t="s">
        <v>721</v>
      </c>
      <c r="I165" s="2" t="s">
        <v>375</v>
      </c>
      <c r="J165" s="2">
        <v>3</v>
      </c>
      <c r="K165" s="2" t="s">
        <v>376</v>
      </c>
      <c r="L165" s="2" t="s">
        <v>377</v>
      </c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8.5">
      <c r="A166" s="2" t="s">
        <v>63</v>
      </c>
      <c r="B166" s="2" t="str">
        <f>IFERROR(INDEX('01_Компании'!$B$4:$B$25,MATCH(A166,'01_Компании'!$A$4:$A$25,0)),"")</f>
        <v>DrawSQL</v>
      </c>
      <c r="C166" s="2" t="s">
        <v>386</v>
      </c>
      <c r="D166" s="2" t="s">
        <v>387</v>
      </c>
      <c r="E166" s="2" t="s">
        <v>627</v>
      </c>
      <c r="F166" s="2" t="s">
        <v>245</v>
      </c>
      <c r="G166" s="2">
        <v>3</v>
      </c>
      <c r="H166" s="4" t="s">
        <v>721</v>
      </c>
      <c r="I166" s="2" t="s">
        <v>389</v>
      </c>
      <c r="J166" s="2">
        <v>4</v>
      </c>
      <c r="K166" s="2" t="s">
        <v>390</v>
      </c>
      <c r="L166" s="2" t="s">
        <v>391</v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8.5">
      <c r="A167" s="2" t="s">
        <v>63</v>
      </c>
      <c r="B167" s="2" t="str">
        <f>IFERROR(INDEX('01_Компании'!$B$4:$B$25,MATCH(A167,'01_Компании'!$A$4:$A$25,0)),"")</f>
        <v>DrawSQL</v>
      </c>
      <c r="C167" s="2" t="s">
        <v>407</v>
      </c>
      <c r="D167" s="2" t="s">
        <v>628</v>
      </c>
      <c r="E167" s="2" t="s">
        <v>629</v>
      </c>
      <c r="F167" s="2" t="s">
        <v>246</v>
      </c>
      <c r="G167" s="2">
        <v>2</v>
      </c>
      <c r="H167" s="4" t="s">
        <v>721</v>
      </c>
      <c r="I167" s="2" t="s">
        <v>410</v>
      </c>
      <c r="J167" s="2">
        <v>4</v>
      </c>
      <c r="K167" s="2" t="s">
        <v>411</v>
      </c>
      <c r="L167" s="2" t="s">
        <v>412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42.75">
      <c r="A168" s="2" t="s">
        <v>63</v>
      </c>
      <c r="B168" s="2" t="str">
        <f>IFERROR(INDEX('01_Компании'!$B$4:$B$25,MATCH(A168,'01_Компании'!$A$4:$A$25,0)),"")</f>
        <v>DrawSQL</v>
      </c>
      <c r="C168" s="2" t="s">
        <v>413</v>
      </c>
      <c r="D168" s="2" t="s">
        <v>624</v>
      </c>
      <c r="E168" s="2" t="s">
        <v>630</v>
      </c>
      <c r="F168" s="2" t="s">
        <v>236</v>
      </c>
      <c r="G168" s="2">
        <v>2</v>
      </c>
      <c r="H168" s="4" t="s">
        <v>721</v>
      </c>
      <c r="I168" s="2" t="s">
        <v>883</v>
      </c>
      <c r="J168" s="2">
        <v>3</v>
      </c>
      <c r="K168" s="2" t="s">
        <v>415</v>
      </c>
      <c r="L168" s="2" t="s">
        <v>416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42.75">
      <c r="A169" s="2" t="s">
        <v>64</v>
      </c>
      <c r="B169" s="2" t="str">
        <f>IFERROR(INDEX('01_Компании'!$B$4:$B$25,MATCH(A169,'01_Компании'!$A$4:$A$25,0)),"")</f>
        <v>Eraser</v>
      </c>
      <c r="C169" s="2" t="s">
        <v>366</v>
      </c>
      <c r="D169" s="2" t="s">
        <v>631</v>
      </c>
      <c r="E169" s="2" t="s">
        <v>632</v>
      </c>
      <c r="F169" s="2" t="s">
        <v>233</v>
      </c>
      <c r="G169" s="2">
        <v>4</v>
      </c>
      <c r="H169" s="4" t="s">
        <v>721</v>
      </c>
      <c r="I169" s="2" t="s">
        <v>633</v>
      </c>
      <c r="J169" s="2">
        <v>4</v>
      </c>
      <c r="K169" s="2" t="s">
        <v>370</v>
      </c>
      <c r="L169" s="2" t="s">
        <v>371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8.5">
      <c r="A170" s="2" t="s">
        <v>64</v>
      </c>
      <c r="B170" s="2" t="str">
        <f>IFERROR(INDEX('01_Компании'!$B$4:$B$25,MATCH(A170,'01_Компании'!$A$4:$A$25,0)),"")</f>
        <v>Eraser</v>
      </c>
      <c r="C170" s="2" t="s">
        <v>386</v>
      </c>
      <c r="D170" s="2" t="s">
        <v>387</v>
      </c>
      <c r="E170" s="2" t="s">
        <v>634</v>
      </c>
      <c r="F170" s="2" t="s">
        <v>245</v>
      </c>
      <c r="G170" s="2">
        <v>3</v>
      </c>
      <c r="H170" s="4" t="s">
        <v>721</v>
      </c>
      <c r="I170" s="2" t="s">
        <v>389</v>
      </c>
      <c r="J170" s="2">
        <v>4</v>
      </c>
      <c r="K170" s="2" t="s">
        <v>390</v>
      </c>
      <c r="L170" s="2" t="s">
        <v>391</v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57">
      <c r="A171" s="2" t="s">
        <v>64</v>
      </c>
      <c r="B171" s="2" t="str">
        <f>IFERROR(INDEX('01_Компании'!$B$4:$B$25,MATCH(A171,'01_Компании'!$A$4:$A$25,0)),"")</f>
        <v>Eraser</v>
      </c>
      <c r="C171" s="2" t="s">
        <v>392</v>
      </c>
      <c r="D171" s="2" t="s">
        <v>635</v>
      </c>
      <c r="E171" s="2" t="s">
        <v>732</v>
      </c>
      <c r="F171" s="2" t="s">
        <v>239</v>
      </c>
      <c r="G171" s="2">
        <v>5</v>
      </c>
      <c r="H171" s="4" t="s">
        <v>721</v>
      </c>
      <c r="I171" s="2" t="s">
        <v>725</v>
      </c>
      <c r="J171" s="2">
        <v>4</v>
      </c>
      <c r="K171" s="2" t="s">
        <v>394</v>
      </c>
      <c r="L171" s="2" t="s">
        <v>395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8.5">
      <c r="A172" s="2" t="s">
        <v>64</v>
      </c>
      <c r="B172" s="2" t="str">
        <f>IFERROR(INDEX('01_Компании'!$B$4:$B$25,MATCH(A172,'01_Компании'!$A$4:$A$25,0)),"")</f>
        <v>Eraser</v>
      </c>
      <c r="C172" s="2" t="s">
        <v>396</v>
      </c>
      <c r="D172" s="2" t="s">
        <v>636</v>
      </c>
      <c r="E172" s="2" t="s">
        <v>637</v>
      </c>
      <c r="F172" s="2" t="s">
        <v>246</v>
      </c>
      <c r="G172" s="2">
        <v>3</v>
      </c>
      <c r="H172" s="4" t="s">
        <v>721</v>
      </c>
      <c r="I172" s="2" t="s">
        <v>399</v>
      </c>
      <c r="J172" s="2">
        <v>3</v>
      </c>
      <c r="K172" s="2" t="s">
        <v>400</v>
      </c>
      <c r="L172" s="2" t="s">
        <v>401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8.5">
      <c r="A173" s="2" t="s">
        <v>64</v>
      </c>
      <c r="B173" s="2" t="str">
        <f>IFERROR(INDEX('01_Компании'!$B$4:$B$25,MATCH(A173,'01_Компании'!$A$4:$A$25,0)),"")</f>
        <v>Eraser</v>
      </c>
      <c r="C173" s="2" t="s">
        <v>407</v>
      </c>
      <c r="D173" s="2" t="s">
        <v>638</v>
      </c>
      <c r="E173" s="2" t="s">
        <v>639</v>
      </c>
      <c r="F173" s="2" t="s">
        <v>246</v>
      </c>
      <c r="G173" s="2">
        <v>2</v>
      </c>
      <c r="H173" s="4" t="s">
        <v>721</v>
      </c>
      <c r="I173" s="2" t="s">
        <v>410</v>
      </c>
      <c r="J173" s="2">
        <v>4</v>
      </c>
      <c r="K173" s="2" t="s">
        <v>411</v>
      </c>
      <c r="L173" s="2" t="s">
        <v>412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42.75">
      <c r="A174" s="2" t="s">
        <v>64</v>
      </c>
      <c r="B174" s="2" t="str">
        <f>IFERROR(INDEX('01_Компании'!$B$4:$B$25,MATCH(A174,'01_Компании'!$A$4:$A$25,0)),"")</f>
        <v>Eraser</v>
      </c>
      <c r="C174" s="2" t="s">
        <v>413</v>
      </c>
      <c r="D174" s="2" t="s">
        <v>631</v>
      </c>
      <c r="E174" s="2" t="s">
        <v>640</v>
      </c>
      <c r="F174" s="2" t="s">
        <v>236</v>
      </c>
      <c r="G174" s="2">
        <v>2</v>
      </c>
      <c r="H174" s="4" t="s">
        <v>721</v>
      </c>
      <c r="I174" s="2" t="s">
        <v>883</v>
      </c>
      <c r="J174" s="2">
        <v>3</v>
      </c>
      <c r="K174" s="2" t="s">
        <v>415</v>
      </c>
      <c r="L174" s="2" t="s">
        <v>416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57">
      <c r="A175" s="2" t="s">
        <v>65</v>
      </c>
      <c r="B175" s="2" t="str">
        <f>IFERROR(INDEX('01_Компании'!$B$4:$B$25,MATCH(A175,'01_Компании'!$A$4:$A$25,0)),"")</f>
        <v>Whimsical</v>
      </c>
      <c r="C175" s="2" t="s">
        <v>366</v>
      </c>
      <c r="D175" s="2" t="s">
        <v>641</v>
      </c>
      <c r="E175" s="2" t="s">
        <v>642</v>
      </c>
      <c r="F175" s="2" t="s">
        <v>233</v>
      </c>
      <c r="G175" s="2">
        <v>4</v>
      </c>
      <c r="H175" s="4" t="s">
        <v>721</v>
      </c>
      <c r="I175" s="2" t="s">
        <v>643</v>
      </c>
      <c r="J175" s="2">
        <v>4</v>
      </c>
      <c r="K175" s="2" t="s">
        <v>370</v>
      </c>
      <c r="L175" s="2" t="s">
        <v>371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8.5">
      <c r="A176" s="2" t="s">
        <v>65</v>
      </c>
      <c r="B176" s="2" t="str">
        <f>IFERROR(INDEX('01_Компании'!$B$4:$B$25,MATCH(A176,'01_Компании'!$A$4:$A$25,0)),"")</f>
        <v>Whimsical</v>
      </c>
      <c r="C176" s="2" t="s">
        <v>386</v>
      </c>
      <c r="D176" s="2" t="s">
        <v>387</v>
      </c>
      <c r="E176" s="2" t="s">
        <v>644</v>
      </c>
      <c r="F176" s="2" t="s">
        <v>245</v>
      </c>
      <c r="G176" s="2">
        <v>3</v>
      </c>
      <c r="H176" s="4" t="s">
        <v>721</v>
      </c>
      <c r="I176" s="2" t="s">
        <v>389</v>
      </c>
      <c r="J176" s="2">
        <v>4</v>
      </c>
      <c r="K176" s="2" t="s">
        <v>430</v>
      </c>
      <c r="L176" s="2" t="s">
        <v>391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42.75">
      <c r="A177" s="2" t="s">
        <v>65</v>
      </c>
      <c r="B177" s="2" t="str">
        <f>IFERROR(INDEX('01_Компании'!$B$4:$B$25,MATCH(A177,'01_Компании'!$A$4:$A$25,0)),"")</f>
        <v>Whimsical</v>
      </c>
      <c r="C177" s="2" t="s">
        <v>392</v>
      </c>
      <c r="D177" s="2" t="s">
        <v>645</v>
      </c>
      <c r="E177" s="2" t="s">
        <v>733</v>
      </c>
      <c r="F177" s="2" t="s">
        <v>239</v>
      </c>
      <c r="G177" s="2">
        <v>5</v>
      </c>
      <c r="H177" s="4" t="s">
        <v>721</v>
      </c>
      <c r="I177" s="2" t="s">
        <v>725</v>
      </c>
      <c r="J177" s="2">
        <v>4</v>
      </c>
      <c r="K177" s="2" t="s">
        <v>394</v>
      </c>
      <c r="L177" s="2" t="s">
        <v>395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28.5">
      <c r="A178" s="2" t="s">
        <v>65</v>
      </c>
      <c r="B178" s="2" t="str">
        <f>IFERROR(INDEX('01_Компании'!$B$4:$B$25,MATCH(A178,'01_Компании'!$A$4:$A$25,0)),"")</f>
        <v>Whimsical</v>
      </c>
      <c r="C178" s="2" t="s">
        <v>396</v>
      </c>
      <c r="D178" s="2" t="s">
        <v>646</v>
      </c>
      <c r="E178" s="2" t="s">
        <v>647</v>
      </c>
      <c r="F178" s="2" t="s">
        <v>246</v>
      </c>
      <c r="G178" s="2">
        <v>3</v>
      </c>
      <c r="H178" s="4" t="s">
        <v>721</v>
      </c>
      <c r="I178" s="2" t="s">
        <v>399</v>
      </c>
      <c r="J178" s="2">
        <v>3</v>
      </c>
      <c r="K178" s="2" t="s">
        <v>400</v>
      </c>
      <c r="L178" s="2" t="s">
        <v>401</v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8.5">
      <c r="A179" s="2" t="s">
        <v>66</v>
      </c>
      <c r="B179" s="2" t="str">
        <f>IFERROR(INDEX('01_Компании'!$B$4:$B$25,MATCH(A179,'01_Компании'!$A$4:$A$25,0)),"")</f>
        <v>Microsoft Visio</v>
      </c>
      <c r="C179" s="2" t="s">
        <v>386</v>
      </c>
      <c r="D179" s="2" t="s">
        <v>387</v>
      </c>
      <c r="E179" s="2" t="s">
        <v>648</v>
      </c>
      <c r="F179" s="2" t="s">
        <v>245</v>
      </c>
      <c r="G179" s="2">
        <v>3</v>
      </c>
      <c r="H179" s="4" t="s">
        <v>721</v>
      </c>
      <c r="I179" s="2" t="s">
        <v>389</v>
      </c>
      <c r="J179" s="2">
        <v>4</v>
      </c>
      <c r="K179" s="2" t="s">
        <v>430</v>
      </c>
      <c r="L179" s="2" t="s">
        <v>391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8.5">
      <c r="A180" s="2" t="s">
        <v>66</v>
      </c>
      <c r="B180" s="2" t="str">
        <f>IFERROR(INDEX('01_Компании'!$B$4:$B$25,MATCH(A180,'01_Компании'!$A$4:$A$25,0)),"")</f>
        <v>Microsoft Visio</v>
      </c>
      <c r="C180" s="2" t="s">
        <v>392</v>
      </c>
      <c r="D180" s="2" t="s">
        <v>649</v>
      </c>
      <c r="E180" s="2" t="s">
        <v>734</v>
      </c>
      <c r="F180" s="2" t="s">
        <v>239</v>
      </c>
      <c r="G180" s="2">
        <v>5</v>
      </c>
      <c r="H180" s="4" t="s">
        <v>721</v>
      </c>
      <c r="I180" s="2" t="s">
        <v>725</v>
      </c>
      <c r="J180" s="2">
        <v>4</v>
      </c>
      <c r="K180" s="2" t="s">
        <v>394</v>
      </c>
      <c r="L180" s="2" t="s">
        <v>395</v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</sheetData>
  <mergeCells count="1">
    <mergeCell ref="A1:L1"/>
  </mergeCells>
  <dataValidations count="2">
    <dataValidation sqref="J4:J180" xr:uid="{00000000-0002-0000-0200-000001000000}">
      <formula1>1</formula1>
      <formula2>5</formula2>
    </dataValidation>
    <dataValidation type="whole" allowBlank="1" showInputMessage="1" showErrorMessage="1" sqref="G4:G180" xr:uid="{27D1A1C9-84CF-48BE-BF18-C289A52BEA32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'08_Справочники'!$D$2:$D$11</xm:f>
          </x14:formula1>
          <xm:sqref>F4:F180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"/>
  <sheetViews>
    <sheetView workbookViewId="0">
      <selection activeCell="G30" sqref="G30"/>
    </sheetView>
  </sheetViews>
  <sheetFormatPr defaultRowHeight="14.25"/>
  <cols>
    <col min="1" max="1" width="19.5" customWidth="1"/>
    <col min="2" max="4" width="55.625" customWidth="1"/>
    <col min="5" max="5" width="21" customWidth="1"/>
    <col min="6" max="7" width="36.625" customWidth="1"/>
    <col min="8" max="8" width="41.625" customWidth="1"/>
    <col min="9" max="9" width="44.625" customWidth="1"/>
    <col min="10" max="10" width="36.625" customWidth="1"/>
    <col min="11" max="26" width="9.625" customWidth="1"/>
  </cols>
  <sheetData>
    <row r="1" spans="1:26">
      <c r="A1" s="20" t="s">
        <v>78</v>
      </c>
      <c r="B1" s="21" t="s">
        <v>78</v>
      </c>
      <c r="C1" s="21" t="s">
        <v>78</v>
      </c>
      <c r="D1" s="21" t="s">
        <v>78</v>
      </c>
      <c r="E1" s="21" t="s">
        <v>78</v>
      </c>
      <c r="F1" s="21" t="s">
        <v>78</v>
      </c>
      <c r="G1" s="21" t="s">
        <v>78</v>
      </c>
      <c r="H1" s="21" t="s">
        <v>78</v>
      </c>
      <c r="I1" s="21" t="s">
        <v>78</v>
      </c>
      <c r="J1" s="21" t="s">
        <v>78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 t="s">
        <v>79</v>
      </c>
      <c r="B3" s="7" t="s">
        <v>80</v>
      </c>
      <c r="C3" s="7" t="s">
        <v>81</v>
      </c>
      <c r="D3" s="7" t="s">
        <v>82</v>
      </c>
      <c r="E3" s="7" t="s">
        <v>83</v>
      </c>
      <c r="F3" s="7" t="s">
        <v>84</v>
      </c>
      <c r="G3" s="7" t="s">
        <v>85</v>
      </c>
      <c r="H3" s="7" t="s">
        <v>86</v>
      </c>
      <c r="I3" s="7" t="s">
        <v>87</v>
      </c>
      <c r="J3" s="7" t="s">
        <v>88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8.5">
      <c r="A4" s="2" t="s">
        <v>89</v>
      </c>
      <c r="B4" s="2" t="s">
        <v>90</v>
      </c>
      <c r="C4" s="2" t="s">
        <v>792</v>
      </c>
      <c r="D4" s="2" t="s">
        <v>793</v>
      </c>
      <c r="E4" s="9">
        <v>20</v>
      </c>
      <c r="F4" s="2" t="s">
        <v>91</v>
      </c>
      <c r="G4" s="2" t="s">
        <v>92</v>
      </c>
      <c r="H4" s="2" t="s">
        <v>93</v>
      </c>
      <c r="I4" s="2" t="s">
        <v>94</v>
      </c>
      <c r="J4" s="2" t="s">
        <v>95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.5">
      <c r="A5" s="2" t="s">
        <v>96</v>
      </c>
      <c r="B5" s="2" t="s">
        <v>97</v>
      </c>
      <c r="C5" s="2" t="s">
        <v>794</v>
      </c>
      <c r="D5" s="2" t="s">
        <v>795</v>
      </c>
      <c r="E5" s="9">
        <v>15</v>
      </c>
      <c r="F5" s="2" t="s">
        <v>98</v>
      </c>
      <c r="G5" s="2" t="s">
        <v>99</v>
      </c>
      <c r="H5" s="2" t="s">
        <v>100</v>
      </c>
      <c r="I5" s="2" t="s">
        <v>101</v>
      </c>
      <c r="J5" s="2" t="s">
        <v>95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8.5">
      <c r="A6" s="2" t="s">
        <v>102</v>
      </c>
      <c r="B6" s="2" t="s">
        <v>103</v>
      </c>
      <c r="C6" s="2" t="s">
        <v>796</v>
      </c>
      <c r="D6" s="2" t="s">
        <v>797</v>
      </c>
      <c r="E6" s="9">
        <v>18</v>
      </c>
      <c r="F6" s="2" t="s">
        <v>104</v>
      </c>
      <c r="G6" s="2" t="s">
        <v>105</v>
      </c>
      <c r="H6" s="2" t="s">
        <v>106</v>
      </c>
      <c r="I6" s="2" t="s">
        <v>107</v>
      </c>
      <c r="J6" s="2" t="s">
        <v>95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8.5">
      <c r="A7" s="2" t="s">
        <v>108</v>
      </c>
      <c r="B7" s="2" t="s">
        <v>109</v>
      </c>
      <c r="C7" s="2" t="s">
        <v>798</v>
      </c>
      <c r="D7" s="2" t="s">
        <v>799</v>
      </c>
      <c r="E7" s="9">
        <v>10</v>
      </c>
      <c r="F7" s="2" t="s">
        <v>110</v>
      </c>
      <c r="G7" s="2" t="s">
        <v>111</v>
      </c>
      <c r="H7" s="2" t="s">
        <v>112</v>
      </c>
      <c r="I7" s="2" t="s">
        <v>113</v>
      </c>
      <c r="J7" s="2" t="s">
        <v>114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5">
      <c r="A8" s="2" t="s">
        <v>115</v>
      </c>
      <c r="B8" s="2" t="s">
        <v>116</v>
      </c>
      <c r="C8" s="2" t="s">
        <v>800</v>
      </c>
      <c r="D8" s="2" t="s">
        <v>801</v>
      </c>
      <c r="E8" s="9">
        <v>8</v>
      </c>
      <c r="F8" s="2" t="s">
        <v>117</v>
      </c>
      <c r="G8" s="2" t="s">
        <v>118</v>
      </c>
      <c r="H8" s="2" t="s">
        <v>119</v>
      </c>
      <c r="I8" s="2" t="s">
        <v>120</v>
      </c>
      <c r="J8" s="2" t="s">
        <v>114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5">
      <c r="A9" s="2" t="s">
        <v>121</v>
      </c>
      <c r="B9" s="2" t="s">
        <v>122</v>
      </c>
      <c r="C9" s="2" t="s">
        <v>802</v>
      </c>
      <c r="D9" s="2" t="s">
        <v>803</v>
      </c>
      <c r="E9" s="9">
        <v>8</v>
      </c>
      <c r="F9" s="2" t="s">
        <v>123</v>
      </c>
      <c r="G9" s="2" t="s">
        <v>124</v>
      </c>
      <c r="H9" s="2" t="s">
        <v>125</v>
      </c>
      <c r="I9" s="2" t="s">
        <v>126</v>
      </c>
      <c r="J9" s="2" t="s">
        <v>114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8.5">
      <c r="A10" s="2" t="s">
        <v>127</v>
      </c>
      <c r="B10" s="2" t="s">
        <v>128</v>
      </c>
      <c r="C10" s="2" t="s">
        <v>804</v>
      </c>
      <c r="D10" s="2" t="s">
        <v>805</v>
      </c>
      <c r="E10" s="9">
        <v>7</v>
      </c>
      <c r="F10" s="2" t="s">
        <v>129</v>
      </c>
      <c r="G10" s="2" t="s">
        <v>130</v>
      </c>
      <c r="H10" s="2" t="s">
        <v>131</v>
      </c>
      <c r="I10" s="2" t="s">
        <v>132</v>
      </c>
      <c r="J10" s="2" t="s">
        <v>114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8.5">
      <c r="A11" s="2" t="s">
        <v>133</v>
      </c>
      <c r="B11" s="2" t="s">
        <v>134</v>
      </c>
      <c r="C11" s="2" t="s">
        <v>806</v>
      </c>
      <c r="D11" s="2" t="s">
        <v>807</v>
      </c>
      <c r="E11" s="9">
        <v>7</v>
      </c>
      <c r="F11" s="2" t="s">
        <v>135</v>
      </c>
      <c r="G11" s="2" t="s">
        <v>136</v>
      </c>
      <c r="H11" s="2" t="s">
        <v>137</v>
      </c>
      <c r="I11" s="2" t="s">
        <v>138</v>
      </c>
      <c r="J11" s="2" t="s">
        <v>114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8.5">
      <c r="A12" s="2" t="s">
        <v>139</v>
      </c>
      <c r="B12" s="2" t="s">
        <v>140</v>
      </c>
      <c r="C12" s="2" t="s">
        <v>808</v>
      </c>
      <c r="D12" s="2" t="s">
        <v>809</v>
      </c>
      <c r="E12" s="9">
        <v>4</v>
      </c>
      <c r="F12" s="2" t="s">
        <v>141</v>
      </c>
      <c r="G12" s="2" t="s">
        <v>142</v>
      </c>
      <c r="H12" s="2" t="s">
        <v>143</v>
      </c>
      <c r="I12" s="2" t="s">
        <v>144</v>
      </c>
      <c r="J12" s="2" t="s">
        <v>114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8.5">
      <c r="A13" s="2" t="s">
        <v>145</v>
      </c>
      <c r="B13" s="2" t="s">
        <v>146</v>
      </c>
      <c r="C13" s="2" t="s">
        <v>810</v>
      </c>
      <c r="D13" s="2" t="s">
        <v>811</v>
      </c>
      <c r="E13" s="9">
        <v>3</v>
      </c>
      <c r="F13" s="2" t="s">
        <v>147</v>
      </c>
      <c r="G13" s="2" t="s">
        <v>148</v>
      </c>
      <c r="H13" s="2" t="s">
        <v>149</v>
      </c>
      <c r="I13" s="2" t="s">
        <v>150</v>
      </c>
      <c r="J13" s="2" t="s">
        <v>114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>
      <c r="A15" s="10" t="s">
        <v>151</v>
      </c>
      <c r="B15" s="23" t="s">
        <v>812</v>
      </c>
      <c r="C15" s="23"/>
      <c r="D15" s="23"/>
      <c r="E15" s="23"/>
      <c r="F15" s="23"/>
      <c r="G15" s="23"/>
      <c r="H15" s="23"/>
      <c r="I15" s="23"/>
      <c r="J15" s="23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</sheetData>
  <mergeCells count="2">
    <mergeCell ref="A1:J1"/>
    <mergeCell ref="B15:J15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"/>
  <sheetViews>
    <sheetView topLeftCell="S1" zoomScale="70" zoomScaleNormal="70" workbookViewId="0">
      <selection activeCell="S35" sqref="S35"/>
    </sheetView>
  </sheetViews>
  <sheetFormatPr defaultRowHeight="14.25"/>
  <cols>
    <col min="1" max="1" width="18.625" customWidth="1"/>
    <col min="2" max="2" width="44" customWidth="1"/>
    <col min="3" max="3" width="38.375" customWidth="1"/>
    <col min="4" max="4" width="18" customWidth="1"/>
    <col min="5" max="5" width="21.125" customWidth="1"/>
    <col min="6" max="6" width="22.75" customWidth="1"/>
    <col min="7" max="7" width="23.875" customWidth="1"/>
    <col min="8" max="8" width="23.125" customWidth="1"/>
    <col min="9" max="9" width="21.375" customWidth="1"/>
    <col min="10" max="10" width="24.625" customWidth="1"/>
    <col min="11" max="11" width="26.5" customWidth="1"/>
    <col min="12" max="12" width="26.25" customWidth="1"/>
    <col min="13" max="13" width="29.25" customWidth="1"/>
    <col min="14" max="14" width="29.125" customWidth="1"/>
    <col min="15" max="15" width="36.75" customWidth="1"/>
    <col min="16" max="16" width="46.375" customWidth="1"/>
    <col min="17" max="19" width="55.625" customWidth="1"/>
    <col min="20" max="20" width="123.25" customWidth="1"/>
    <col min="21" max="21" width="55.625" customWidth="1"/>
    <col min="22" max="22" width="28.125" customWidth="1"/>
    <col min="23" max="26" width="9.625" customWidth="1"/>
  </cols>
  <sheetData>
    <row r="1" spans="1:26" ht="15" customHeight="1">
      <c r="A1" s="20" t="s">
        <v>152</v>
      </c>
      <c r="B1" s="21" t="s">
        <v>152</v>
      </c>
      <c r="C1" s="21" t="s">
        <v>152</v>
      </c>
      <c r="D1" s="21" t="s">
        <v>152</v>
      </c>
      <c r="E1" s="21" t="s">
        <v>152</v>
      </c>
      <c r="F1" s="21" t="s">
        <v>152</v>
      </c>
      <c r="G1" s="21" t="s">
        <v>152</v>
      </c>
      <c r="H1" s="21" t="s">
        <v>152</v>
      </c>
      <c r="I1" s="21" t="s">
        <v>152</v>
      </c>
      <c r="J1" s="21" t="s">
        <v>152</v>
      </c>
      <c r="K1" s="21" t="s">
        <v>152</v>
      </c>
      <c r="L1" s="21" t="s">
        <v>152</v>
      </c>
      <c r="M1" s="21" t="s">
        <v>152</v>
      </c>
      <c r="N1" s="21" t="s">
        <v>152</v>
      </c>
      <c r="O1" s="21" t="s">
        <v>152</v>
      </c>
      <c r="P1" s="21" t="s">
        <v>152</v>
      </c>
      <c r="Q1" s="21" t="s">
        <v>152</v>
      </c>
      <c r="R1" s="21" t="s">
        <v>152</v>
      </c>
      <c r="S1" s="21" t="s">
        <v>152</v>
      </c>
      <c r="T1" s="21" t="s">
        <v>152</v>
      </c>
      <c r="U1" s="21" t="s">
        <v>152</v>
      </c>
      <c r="V1" s="21" t="s">
        <v>152</v>
      </c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 t="s">
        <v>32</v>
      </c>
      <c r="B3" s="7" t="s">
        <v>33</v>
      </c>
      <c r="C3" s="7" t="s">
        <v>34</v>
      </c>
      <c r="D3" s="7" t="s">
        <v>153</v>
      </c>
      <c r="E3" s="7" t="s">
        <v>154</v>
      </c>
      <c r="F3" s="7" t="s">
        <v>155</v>
      </c>
      <c r="G3" s="7" t="s">
        <v>156</v>
      </c>
      <c r="H3" s="7" t="s">
        <v>157</v>
      </c>
      <c r="I3" s="7" t="s">
        <v>158</v>
      </c>
      <c r="J3" s="7" t="s">
        <v>159</v>
      </c>
      <c r="K3" s="7" t="s">
        <v>160</v>
      </c>
      <c r="L3" s="7" t="s">
        <v>161</v>
      </c>
      <c r="M3" s="7" t="s">
        <v>162</v>
      </c>
      <c r="N3" s="7" t="s">
        <v>163</v>
      </c>
      <c r="O3" s="7" t="s">
        <v>164</v>
      </c>
      <c r="P3" s="7" t="s">
        <v>165</v>
      </c>
      <c r="Q3" s="7" t="s">
        <v>166</v>
      </c>
      <c r="R3" s="7" t="s">
        <v>21</v>
      </c>
      <c r="S3" s="7" t="s">
        <v>167</v>
      </c>
      <c r="T3" s="7" t="s">
        <v>168</v>
      </c>
      <c r="U3" s="7" t="s">
        <v>169</v>
      </c>
      <c r="V3" s="7" t="s">
        <v>170</v>
      </c>
      <c r="W3" s="6"/>
      <c r="X3" s="6"/>
      <c r="Y3" s="6"/>
      <c r="Z3" s="6"/>
    </row>
    <row r="4" spans="1:26" s="18" customFormat="1" ht="99.75">
      <c r="A4" s="15" t="s">
        <v>45</v>
      </c>
      <c r="B4" s="15" t="str">
        <f>IFERROR(IF(INDEX('01_Компании'!$B$4:$B$25,MATCH(A4,'01_Компании'!$A$4:$A$25,0))="","",INDEX('01_Компании'!$B$4:$B$25,MATCH(A4,'01_Компании'!$A$4:$A$25,0))),"")</f>
        <v>PlantUML</v>
      </c>
      <c r="C4" s="15" t="str">
        <f>IFERROR(IF(INDEX('01_Компании'!$C$4:$C$25,MATCH(A4,'01_Компании'!$A$4:$A$25,0))="","",INDEX('01_Компании'!$C$4:$C$25,MATCH(A4,'01_Компании'!$A$4:$A$25,0))),"")</f>
        <v>plantuml.com</v>
      </c>
      <c r="D4" s="15">
        <v>5</v>
      </c>
      <c r="E4" s="15">
        <v>4</v>
      </c>
      <c r="F4" s="15">
        <v>4</v>
      </c>
      <c r="G4" s="15">
        <v>5</v>
      </c>
      <c r="H4" s="15">
        <v>4</v>
      </c>
      <c r="I4" s="15">
        <v>4</v>
      </c>
      <c r="J4" s="15">
        <v>4</v>
      </c>
      <c r="K4" s="15">
        <v>1</v>
      </c>
      <c r="L4" s="15">
        <v>5</v>
      </c>
      <c r="M4" s="15">
        <v>3</v>
      </c>
      <c r="N4" s="16">
        <f>IF(COUNTA(D4:M4)=0,"",(D4*'03_Критерии'!$E$4+E4*'03_Критерии'!$E$5+F4*'03_Критерии'!$E$6+G4*'03_Критерии'!$E$7+H4*'03_Критерии'!$E$8+I4*'03_Критерии'!$E$9+J4*'03_Критерии'!$E$10+K4*'03_Критерии'!$E$11+L4*'03_Критерии'!$E$12+M4*'03_Критерии'!$E$13)/SUM('03_Критерии'!$E$4:$E$13))</f>
        <v>4.0999999999999996</v>
      </c>
      <c r="O4" s="15" t="str">
        <f t="shared" ref="O4:O25" si="0">IF(N4="","",IF(COUNTA(D4:M4)&lt;6,"Недостаточно данных",IF(D4&lt;3,"Низкое совпадение задачи",IF(F4&lt;3,"Низкая товарная заменяемость","Нет"))))</f>
        <v>Нет</v>
      </c>
      <c r="P4" s="15" t="str">
        <f t="shared" ref="P4:P25" si="1">IF(N4="","",IF(O4="Недостаточно данных","Недостаточно данных",IF(OR(D4&lt;3,F4&lt;3),IF(N4&gt;=2.5,"Косвенный конкурент / заменитель",IF(N4&gt;=1.6,"Смежная или потенциальная конкуренция","Не конкурент / объект наблюдения")),IF(N4&gt;=4.2,"Прямой конкурент",IF(N4&gt;=3.4,"Близкий альтернативный конкурент",IF(N4&gt;=2.5,"Косвенный конкурент / заменитель",IF(N4&gt;=1.6,"Смежная или потенциальная конкуренция","Не конкурент / объект наблюдения")))))))</f>
        <v>Близкий альтернативный конкурент</v>
      </c>
      <c r="Q4" s="15" t="s">
        <v>179</v>
      </c>
      <c r="R4" s="15" t="str">
        <f t="shared" ref="R4:R25" si="2">IF(Q4="",P4,Q4)</f>
        <v>Прямой конкурент</v>
      </c>
      <c r="S4" s="15" t="s">
        <v>228</v>
      </c>
      <c r="T4" s="15" t="s">
        <v>893</v>
      </c>
      <c r="U4" s="15" t="s">
        <v>650</v>
      </c>
      <c r="V4" s="17" t="s">
        <v>721</v>
      </c>
    </row>
    <row r="5" spans="1:26" s="18" customFormat="1" ht="42.75">
      <c r="A5" s="15" t="s">
        <v>46</v>
      </c>
      <c r="B5" s="15" t="str">
        <f>IFERROR(IF(INDEX('01_Компании'!$B$4:$B$25,MATCH(A5,'01_Компании'!$A$4:$A$25,0))="","",INDEX('01_Компании'!$B$4:$B$25,MATCH(A5,'01_Компании'!$A$4:$A$25,0))),"")</f>
        <v>Mermaid (библиотека)</v>
      </c>
      <c r="C5" s="15" t="str">
        <f>IFERROR(IF(INDEX('01_Компании'!$C$4:$C$25,MATCH(A5,'01_Компании'!$A$4:$A$25,0))="","",INDEX('01_Компании'!$C$4:$C$25,MATCH(A5,'01_Компании'!$A$4:$A$25,0))),"")</f>
        <v>mermaid.js.org</v>
      </c>
      <c r="D5" s="15">
        <v>5</v>
      </c>
      <c r="E5" s="15">
        <v>4</v>
      </c>
      <c r="F5" s="15">
        <v>4</v>
      </c>
      <c r="G5" s="15">
        <v>5</v>
      </c>
      <c r="H5" s="15">
        <v>4</v>
      </c>
      <c r="I5" s="15">
        <v>5</v>
      </c>
      <c r="J5" s="15">
        <v>3</v>
      </c>
      <c r="K5" s="15">
        <v>1</v>
      </c>
      <c r="L5" s="15">
        <v>4</v>
      </c>
      <c r="M5" s="15">
        <v>3</v>
      </c>
      <c r="N5" s="16">
        <f>IF(COUNTA(D5:M5)=0,"",(D5*'03_Критерии'!$E$4+E5*'03_Критерии'!$E$5+F5*'03_Критерии'!$E$6+G5*'03_Критерии'!$E$7+H5*'03_Критерии'!$E$8+I5*'03_Критерии'!$E$9+J5*'03_Критерии'!$E$10+K5*'03_Критерии'!$E$11+L5*'03_Критерии'!$E$12+M5*'03_Критерии'!$E$13)/SUM('03_Критерии'!$E$4:$E$13))</f>
        <v>4.07</v>
      </c>
      <c r="O5" s="15" t="str">
        <f t="shared" si="0"/>
        <v>Нет</v>
      </c>
      <c r="P5" s="15" t="str">
        <f t="shared" si="1"/>
        <v>Близкий альтернативный конкурент</v>
      </c>
      <c r="Q5" s="15"/>
      <c r="R5" s="15" t="str">
        <f t="shared" si="2"/>
        <v>Близкий альтернативный конкурент</v>
      </c>
      <c r="S5" s="15" t="s">
        <v>228</v>
      </c>
      <c r="T5" s="15" t="s">
        <v>813</v>
      </c>
      <c r="U5" s="15" t="s">
        <v>653</v>
      </c>
      <c r="V5" s="17" t="s">
        <v>721</v>
      </c>
    </row>
    <row r="6" spans="1:26" s="18" customFormat="1" ht="42.75">
      <c r="A6" s="15" t="s">
        <v>47</v>
      </c>
      <c r="B6" s="15" t="str">
        <f>IFERROR(IF(INDEX('01_Компании'!$B$4:$B$25,MATCH(A6,'01_Компании'!$A$4:$A$25,0))="","",INDEX('01_Компании'!$B$4:$B$25,MATCH(A6,'01_Компании'!$A$4:$A$25,0))),"")</f>
        <v>Mermaid Chart</v>
      </c>
      <c r="C6" s="15" t="str">
        <f>IFERROR(IF(INDEX('01_Компании'!$C$4:$C$25,MATCH(A6,'01_Компании'!$A$4:$A$25,0))="","",INDEX('01_Компании'!$C$4:$C$25,MATCH(A6,'01_Компании'!$A$4:$A$25,0))),"")</f>
        <v>mermaidchart.com</v>
      </c>
      <c r="D6" s="15">
        <v>5</v>
      </c>
      <c r="E6" s="15">
        <v>3</v>
      </c>
      <c r="F6" s="15">
        <v>4</v>
      </c>
      <c r="G6" s="15">
        <v>4</v>
      </c>
      <c r="H6" s="15">
        <v>3</v>
      </c>
      <c r="I6" s="15">
        <v>3</v>
      </c>
      <c r="J6" s="15">
        <v>2</v>
      </c>
      <c r="K6" s="15">
        <v>5</v>
      </c>
      <c r="L6" s="15">
        <v>2</v>
      </c>
      <c r="M6" s="15">
        <v>3</v>
      </c>
      <c r="N6" s="16">
        <f>IF(COUNTA(D6:M6)=0,"",(D6*'03_Критерии'!$E$4+E6*'03_Критерии'!$E$5+F6*'03_Критерии'!$E$6+G6*'03_Критерии'!$E$7+H6*'03_Критерии'!$E$8+I6*'03_Критерии'!$E$9+J6*'03_Критерии'!$E$10+K6*'03_Критерии'!$E$11+L6*'03_Критерии'!$E$12+M6*'03_Критерии'!$E$13)/SUM('03_Критерии'!$E$4:$E$13))</f>
        <v>3.71</v>
      </c>
      <c r="O6" s="15" t="str">
        <f t="shared" si="0"/>
        <v>Нет</v>
      </c>
      <c r="P6" s="15" t="str">
        <f t="shared" si="1"/>
        <v>Близкий альтернативный конкурент</v>
      </c>
      <c r="Q6" s="15"/>
      <c r="R6" s="15" t="str">
        <f t="shared" si="2"/>
        <v>Близкий альтернативный конкурент</v>
      </c>
      <c r="S6" s="15" t="s">
        <v>228</v>
      </c>
      <c r="T6" s="15" t="s">
        <v>894</v>
      </c>
      <c r="U6" s="15" t="s">
        <v>654</v>
      </c>
      <c r="V6" s="17" t="s">
        <v>721</v>
      </c>
    </row>
    <row r="7" spans="1:26" s="18" customFormat="1" ht="28.5">
      <c r="A7" s="15" t="s">
        <v>48</v>
      </c>
      <c r="B7" s="15" t="str">
        <f>IFERROR(IF(INDEX('01_Компании'!$B$4:$B$25,MATCH(A7,'01_Компании'!$A$4:$A$25,0))="","",INDEX('01_Компании'!$B$4:$B$25,MATCH(A7,'01_Компании'!$A$4:$A$25,0))),"")</f>
        <v>D2 (Terrastruct)</v>
      </c>
      <c r="C7" s="15" t="str">
        <f>IFERROR(IF(INDEX('01_Компании'!$C$4:$C$25,MATCH(A7,'01_Компании'!$A$4:$A$25,0))="","",INDEX('01_Компании'!$C$4:$C$25,MATCH(A7,'01_Компании'!$A$4:$A$25,0))),"")</f>
        <v>d2lang.com</v>
      </c>
      <c r="D7" s="15">
        <v>4</v>
      </c>
      <c r="E7" s="15">
        <v>3</v>
      </c>
      <c r="F7" s="15">
        <v>3</v>
      </c>
      <c r="G7" s="15">
        <v>4</v>
      </c>
      <c r="H7" s="15"/>
      <c r="I7" s="15">
        <v>4</v>
      </c>
      <c r="J7" s="15">
        <v>2</v>
      </c>
      <c r="K7" s="15"/>
      <c r="L7" s="15">
        <v>2</v>
      </c>
      <c r="M7" s="15">
        <v>3</v>
      </c>
      <c r="N7" s="16">
        <f>IF(COUNTA(D7:M7)=0,"",(D7*'03_Критерии'!$E$4+E7*'03_Критерии'!$E$5+F7*'03_Критерии'!$E$6+G7*'03_Критерии'!$E$7+H7*'03_Критерии'!$E$8+I7*'03_Критерии'!$E$9+J7*'03_Критерии'!$E$10+K7*'03_Критерии'!$E$11+L7*'03_Критерии'!$E$12+M7*'03_Критерии'!$E$13)/SUM('03_Критерии'!$E$4:$E$13))</f>
        <v>2.82</v>
      </c>
      <c r="O7" s="15" t="str">
        <f t="shared" si="0"/>
        <v>Нет</v>
      </c>
      <c r="P7" s="15" t="str">
        <f t="shared" si="1"/>
        <v>Косвенный конкурент / заменитель</v>
      </c>
      <c r="Q7" s="15"/>
      <c r="R7" s="15" t="str">
        <f t="shared" si="2"/>
        <v>Косвенный конкурент / заменитель</v>
      </c>
      <c r="S7" s="15" t="s">
        <v>228</v>
      </c>
      <c r="T7" s="15" t="s">
        <v>814</v>
      </c>
      <c r="U7" s="15" t="s">
        <v>656</v>
      </c>
      <c r="V7" s="17" t="s">
        <v>721</v>
      </c>
    </row>
    <row r="8" spans="1:26" s="18" customFormat="1" ht="28.5">
      <c r="A8" s="15" t="s">
        <v>49</v>
      </c>
      <c r="B8" s="15" t="str">
        <f>IFERROR(IF(INDEX('01_Компании'!$B$4:$B$25,MATCH(A8,'01_Компании'!$A$4:$A$25,0))="","",INDEX('01_Компании'!$B$4:$B$25,MATCH(A8,'01_Компании'!$A$4:$A$25,0))),"")</f>
        <v>Kroki</v>
      </c>
      <c r="C8" s="15" t="str">
        <f>IFERROR(IF(INDEX('01_Компании'!$C$4:$C$25,MATCH(A8,'01_Компании'!$A$4:$A$25,0))="","",INDEX('01_Компании'!$C$4:$C$25,MATCH(A8,'01_Компании'!$A$4:$A$25,0))),"")</f>
        <v>kroki.io</v>
      </c>
      <c r="D8" s="15">
        <v>3</v>
      </c>
      <c r="E8" s="15">
        <v>3</v>
      </c>
      <c r="F8" s="15">
        <v>2</v>
      </c>
      <c r="G8" s="15">
        <v>2</v>
      </c>
      <c r="H8" s="15"/>
      <c r="I8" s="15">
        <v>3</v>
      </c>
      <c r="J8" s="15">
        <v>2</v>
      </c>
      <c r="K8" s="15"/>
      <c r="L8" s="15">
        <v>2</v>
      </c>
      <c r="M8" s="15"/>
      <c r="N8" s="16">
        <f>IF(COUNTA(D8:M8)=0,"",(D8*'03_Критерии'!$E$4+E8*'03_Критерии'!$E$5+F8*'03_Критерии'!$E$6+G8*'03_Критерии'!$E$7+H8*'03_Критерии'!$E$8+I8*'03_Критерии'!$E$9+J8*'03_Критерии'!$E$10+K8*'03_Критерии'!$E$11+L8*'03_Критерии'!$E$12+M8*'03_Критерии'!$E$13)/SUM('03_Критерии'!$E$4:$E$13))</f>
        <v>2.0699999999999998</v>
      </c>
      <c r="O8" s="15" t="str">
        <f t="shared" si="0"/>
        <v>Низкая товарная заменяемость</v>
      </c>
      <c r="P8" s="15" t="str">
        <f t="shared" si="1"/>
        <v>Смежная или потенциальная конкуренция</v>
      </c>
      <c r="Q8" s="15"/>
      <c r="R8" s="15" t="str">
        <f t="shared" si="2"/>
        <v>Смежная или потенциальная конкуренция</v>
      </c>
      <c r="S8" s="15" t="s">
        <v>228</v>
      </c>
      <c r="T8" s="15" t="s">
        <v>815</v>
      </c>
      <c r="U8" s="15" t="s">
        <v>659</v>
      </c>
      <c r="V8" s="17" t="s">
        <v>721</v>
      </c>
    </row>
    <row r="9" spans="1:26" s="18" customFormat="1" ht="28.5">
      <c r="A9" s="15" t="s">
        <v>50</v>
      </c>
      <c r="B9" s="15" t="str">
        <f>IFERROR(IF(INDEX('01_Компании'!$B$4:$B$25,MATCH(A9,'01_Компании'!$A$4:$A$25,0))="","",INDEX('01_Компании'!$B$4:$B$25,MATCH(A9,'01_Компании'!$A$4:$A$25,0))),"")</f>
        <v>PlantText</v>
      </c>
      <c r="C9" s="15" t="str">
        <f>IFERROR(IF(INDEX('01_Компании'!$C$4:$C$25,MATCH(A9,'01_Компании'!$A$4:$A$25,0))="","",INDEX('01_Компании'!$C$4:$C$25,MATCH(A9,'01_Компании'!$A$4:$A$25,0))),"")</f>
        <v>planttext.com</v>
      </c>
      <c r="D9" s="15">
        <v>5</v>
      </c>
      <c r="E9" s="15">
        <v>4</v>
      </c>
      <c r="F9" s="15">
        <v>4</v>
      </c>
      <c r="G9" s="15">
        <v>5</v>
      </c>
      <c r="H9" s="15">
        <v>4</v>
      </c>
      <c r="I9" s="15">
        <v>2</v>
      </c>
      <c r="J9" s="15">
        <v>2</v>
      </c>
      <c r="K9" s="15">
        <v>1</v>
      </c>
      <c r="L9" s="15">
        <v>3</v>
      </c>
      <c r="M9" s="15">
        <v>3</v>
      </c>
      <c r="N9" s="16">
        <f>IF(COUNTA(D9:M9)=0,"",(D9*'03_Критерии'!$E$4+E9*'03_Критерии'!$E$5+F9*'03_Критерии'!$E$6+G9*'03_Критерии'!$E$7+H9*'03_Критерии'!$E$8+I9*'03_Критерии'!$E$9+J9*'03_Критерии'!$E$10+K9*'03_Критерии'!$E$11+L9*'03_Критерии'!$E$12+M9*'03_Критерии'!$E$13)/SUM('03_Критерии'!$E$4:$E$13))</f>
        <v>3.72</v>
      </c>
      <c r="O9" s="15" t="str">
        <f t="shared" si="0"/>
        <v>Нет</v>
      </c>
      <c r="P9" s="15" t="str">
        <f t="shared" si="1"/>
        <v>Близкий альтернативный конкурент</v>
      </c>
      <c r="Q9" s="15"/>
      <c r="R9" s="15" t="str">
        <f t="shared" si="2"/>
        <v>Близкий альтернативный конкурент</v>
      </c>
      <c r="S9" s="15" t="s">
        <v>228</v>
      </c>
      <c r="T9" s="15" t="s">
        <v>816</v>
      </c>
      <c r="U9" s="15" t="s">
        <v>662</v>
      </c>
      <c r="V9" s="17" t="s">
        <v>721</v>
      </c>
    </row>
    <row r="10" spans="1:26" s="18" customFormat="1" ht="28.5">
      <c r="A10" s="15" t="s">
        <v>51</v>
      </c>
      <c r="B10" s="15" t="str">
        <f>IFERROR(IF(INDEX('01_Компании'!$B$4:$B$25,MATCH(A10,'01_Компании'!$A$4:$A$25,0))="","",INDEX('01_Компании'!$B$4:$B$25,MATCH(A10,'01_Компании'!$A$4:$A$25,0))),"")</f>
        <v>StarUML</v>
      </c>
      <c r="C10" s="15" t="str">
        <f>IFERROR(IF(INDEX('01_Компании'!$C$4:$C$25,MATCH(A10,'01_Компании'!$A$4:$A$25,0))="","",INDEX('01_Компании'!$C$4:$C$25,MATCH(A10,'01_Компании'!$A$4:$A$25,0))),"")</f>
        <v>staruml.io</v>
      </c>
      <c r="D10" s="15">
        <v>4</v>
      </c>
      <c r="E10" s="15">
        <v>4</v>
      </c>
      <c r="F10" s="15">
        <v>3</v>
      </c>
      <c r="G10" s="15">
        <v>3</v>
      </c>
      <c r="H10" s="15"/>
      <c r="I10" s="15">
        <v>3</v>
      </c>
      <c r="J10" s="15">
        <v>3</v>
      </c>
      <c r="K10" s="15"/>
      <c r="L10" s="15">
        <v>3</v>
      </c>
      <c r="M10" s="15"/>
      <c r="N10" s="16">
        <f>IF(COUNTA(D10:M10)=0,"",(D10*'03_Критерии'!$E$4+E10*'03_Критерии'!$E$5+F10*'03_Критерии'!$E$6+G10*'03_Критерии'!$E$7+H10*'03_Критерии'!$E$8+I10*'03_Критерии'!$E$9+J10*'03_Критерии'!$E$10+K10*'03_Критерии'!$E$11+L10*'03_Критерии'!$E$12+M10*'03_Критерии'!$E$13)/SUM('03_Критерии'!$E$4:$E$13))</f>
        <v>2.81</v>
      </c>
      <c r="O10" s="15" t="str">
        <f t="shared" si="0"/>
        <v>Нет</v>
      </c>
      <c r="P10" s="15" t="str">
        <f t="shared" si="1"/>
        <v>Косвенный конкурент / заменитель</v>
      </c>
      <c r="Q10" s="15"/>
      <c r="R10" s="15" t="str">
        <f t="shared" si="2"/>
        <v>Косвенный конкурент / заменитель</v>
      </c>
      <c r="S10" s="15" t="s">
        <v>228</v>
      </c>
      <c r="T10" s="15" t="s">
        <v>817</v>
      </c>
      <c r="U10" s="15" t="s">
        <v>663</v>
      </c>
      <c r="V10" s="17" t="s">
        <v>721</v>
      </c>
    </row>
    <row r="11" spans="1:26" s="18" customFormat="1" ht="42.75">
      <c r="A11" s="15" t="s">
        <v>52</v>
      </c>
      <c r="B11" s="15" t="str">
        <f>IFERROR(IF(INDEX('01_Компании'!$B$4:$B$25,MATCH(A11,'01_Компании'!$A$4:$A$25,0))="","",INDEX('01_Компании'!$B$4:$B$25,MATCH(A11,'01_Компании'!$A$4:$A$25,0))),"")</f>
        <v>Visual Paradigm</v>
      </c>
      <c r="C11" s="15" t="str">
        <f>IFERROR(IF(INDEX('01_Компании'!$C$4:$C$25,MATCH(A11,'01_Компании'!$A$4:$A$25,0))="","",INDEX('01_Компании'!$C$4:$C$25,MATCH(A11,'01_Компании'!$A$4:$A$25,0))),"")</f>
        <v>visual-paradigm.com</v>
      </c>
      <c r="D11" s="15">
        <v>4</v>
      </c>
      <c r="E11" s="15">
        <v>4</v>
      </c>
      <c r="F11" s="15">
        <v>4</v>
      </c>
      <c r="G11" s="15">
        <v>3</v>
      </c>
      <c r="H11" s="15">
        <v>4</v>
      </c>
      <c r="I11" s="15">
        <v>3</v>
      </c>
      <c r="J11" s="15">
        <v>4</v>
      </c>
      <c r="K11" s="15">
        <v>3</v>
      </c>
      <c r="L11" s="15">
        <v>4</v>
      </c>
      <c r="M11" s="15"/>
      <c r="N11" s="16">
        <f>IF(COUNTA(D11:M11)=0,"",(D11*'03_Критерии'!$E$4+E11*'03_Критерии'!$E$5+F11*'03_Критерии'!$E$6+G11*'03_Критерии'!$E$7+H11*'03_Критерии'!$E$8+I11*'03_Критерии'!$E$9+J11*'03_Критерии'!$E$10+K11*'03_Критерии'!$E$11+L11*'03_Критерии'!$E$12+M11*'03_Критерии'!$E$13)/SUM('03_Критерии'!$E$4:$E$13))</f>
        <v>3.63</v>
      </c>
      <c r="O11" s="15" t="str">
        <f t="shared" si="0"/>
        <v>Нет</v>
      </c>
      <c r="P11" s="15" t="str">
        <f t="shared" si="1"/>
        <v>Близкий альтернативный конкурент</v>
      </c>
      <c r="Q11" s="15"/>
      <c r="R11" s="15" t="str">
        <f t="shared" si="2"/>
        <v>Близкий альтернативный конкурент</v>
      </c>
      <c r="S11" s="15" t="s">
        <v>228</v>
      </c>
      <c r="T11" s="15" t="s">
        <v>818</v>
      </c>
      <c r="U11" s="15" t="s">
        <v>665</v>
      </c>
      <c r="V11" s="17" t="s">
        <v>721</v>
      </c>
    </row>
    <row r="12" spans="1:26" s="18" customFormat="1" ht="28.5">
      <c r="A12" s="15" t="s">
        <v>53</v>
      </c>
      <c r="B12" s="15" t="str">
        <f>IFERROR(IF(INDEX('01_Компании'!$B$4:$B$25,MATCH(A12,'01_Компании'!$A$4:$A$25,0))="","",INDEX('01_Компании'!$B$4:$B$25,MATCH(A12,'01_Компании'!$A$4:$A$25,0))),"")</f>
        <v>Sparx Systems (Enterprise Architect)</v>
      </c>
      <c r="C12" s="15" t="str">
        <f>IFERROR(IF(INDEX('01_Компании'!$C$4:$C$25,MATCH(A12,'01_Компании'!$A$4:$A$25,0))="","",INDEX('01_Компании'!$C$4:$C$25,MATCH(A12,'01_Компании'!$A$4:$A$25,0))),"")</f>
        <v>sparxsystems.com</v>
      </c>
      <c r="D12" s="15">
        <v>4</v>
      </c>
      <c r="E12" s="15"/>
      <c r="F12" s="15">
        <v>3</v>
      </c>
      <c r="G12" s="15"/>
      <c r="H12" s="15"/>
      <c r="I12" s="15">
        <v>2</v>
      </c>
      <c r="J12" s="15">
        <v>4</v>
      </c>
      <c r="K12" s="15"/>
      <c r="L12" s="15">
        <v>3</v>
      </c>
      <c r="M12" s="15"/>
      <c r="N12" s="16">
        <f>IF(COUNTA(D12:M12)=0,"",(D12*'03_Критерии'!$E$4+E12*'03_Критерии'!$E$5+F12*'03_Критерии'!$E$6+G12*'03_Критерии'!$E$7+H12*'03_Критерии'!$E$8+I12*'03_Критерии'!$E$9+J12*'03_Критерии'!$E$10+K12*'03_Критерии'!$E$11+L12*'03_Критерии'!$E$12+M12*'03_Критерии'!$E$13)/SUM('03_Критерии'!$E$4:$E$13))</f>
        <v>1.9</v>
      </c>
      <c r="O12" s="15" t="str">
        <f t="shared" si="0"/>
        <v>Недостаточно данных</v>
      </c>
      <c r="P12" s="15" t="str">
        <f t="shared" si="1"/>
        <v>Недостаточно данных</v>
      </c>
      <c r="Q12" s="15"/>
      <c r="R12" s="15" t="str">
        <f t="shared" si="2"/>
        <v>Недостаточно данных</v>
      </c>
      <c r="S12" s="15" t="s">
        <v>235</v>
      </c>
      <c r="T12" s="15" t="s">
        <v>819</v>
      </c>
      <c r="U12" s="15" t="s">
        <v>667</v>
      </c>
      <c r="V12" s="17" t="s">
        <v>721</v>
      </c>
    </row>
    <row r="13" spans="1:26" s="18" customFormat="1" ht="28.5">
      <c r="A13" s="15" t="s">
        <v>54</v>
      </c>
      <c r="B13" s="15" t="str">
        <f>IFERROR(IF(INDEX('01_Компании'!$B$4:$B$25,MATCH(A13,'01_Компании'!$A$4:$A$25,0))="","",INDEX('01_Компании'!$B$4:$B$25,MATCH(A13,'01_Компании'!$A$4:$A$25,0))),"")</f>
        <v>bpmn.io</v>
      </c>
      <c r="C13" s="15" t="str">
        <f>IFERROR(IF(INDEX('01_Компании'!$C$4:$C$25,MATCH(A13,'01_Компании'!$A$4:$A$25,0))="","",INDEX('01_Компании'!$C$4:$C$25,MATCH(A13,'01_Компании'!$A$4:$A$25,0))),"")</f>
        <v>bpmn.io</v>
      </c>
      <c r="D13" s="15">
        <v>3</v>
      </c>
      <c r="E13" s="15">
        <v>3</v>
      </c>
      <c r="F13" s="15">
        <v>2</v>
      </c>
      <c r="G13" s="15">
        <v>3</v>
      </c>
      <c r="H13" s="15"/>
      <c r="I13" s="15">
        <v>3</v>
      </c>
      <c r="J13" s="15">
        <v>4</v>
      </c>
      <c r="K13" s="15"/>
      <c r="L13" s="15">
        <v>3</v>
      </c>
      <c r="M13" s="15">
        <v>3</v>
      </c>
      <c r="N13" s="16">
        <f>IF(COUNTA(D13:M13)=0,"",(D13*'03_Критерии'!$E$4+E13*'03_Критерии'!$E$5+F13*'03_Критерии'!$E$6+G13*'03_Критерии'!$E$7+H13*'03_Критерии'!$E$8+I13*'03_Критерии'!$E$9+J13*'03_Критерии'!$E$10+K13*'03_Критерии'!$E$11+L13*'03_Критерии'!$E$12+M13*'03_Критерии'!$E$13)/SUM('03_Критерии'!$E$4:$E$13))</f>
        <v>2.44</v>
      </c>
      <c r="O13" s="15" t="str">
        <f t="shared" si="0"/>
        <v>Низкая товарная заменяемость</v>
      </c>
      <c r="P13" s="15" t="str">
        <f t="shared" si="1"/>
        <v>Смежная или потенциальная конкуренция</v>
      </c>
      <c r="Q13" s="15"/>
      <c r="R13" s="15" t="str">
        <f t="shared" si="2"/>
        <v>Смежная или потенциальная конкуренция</v>
      </c>
      <c r="S13" s="15" t="s">
        <v>228</v>
      </c>
      <c r="T13" s="15" t="s">
        <v>820</v>
      </c>
      <c r="U13" s="15" t="s">
        <v>669</v>
      </c>
      <c r="V13" s="17" t="s">
        <v>721</v>
      </c>
    </row>
    <row r="14" spans="1:26" s="18" customFormat="1" ht="28.5">
      <c r="A14" s="15" t="s">
        <v>55</v>
      </c>
      <c r="B14" s="15" t="str">
        <f>IFERROR(IF(INDEX('01_Компании'!$B$4:$B$25,MATCH(A14,'01_Компании'!$A$4:$A$25,0))="","",INDEX('01_Компании'!$B$4:$B$25,MATCH(A14,'01_Компании'!$A$4:$A$25,0))),"")</f>
        <v>Camunda (Modeler)</v>
      </c>
      <c r="C14" s="15" t="str">
        <f>IFERROR(IF(INDEX('01_Компании'!$C$4:$C$25,MATCH(A14,'01_Компании'!$A$4:$A$25,0))="","",INDEX('01_Компании'!$C$4:$C$25,MATCH(A14,'01_Компании'!$A$4:$A$25,0))),"")</f>
        <v>camunda.com</v>
      </c>
      <c r="D14" s="15">
        <v>2</v>
      </c>
      <c r="E14" s="15">
        <v>2</v>
      </c>
      <c r="F14" s="15">
        <v>2</v>
      </c>
      <c r="G14" s="15">
        <v>2</v>
      </c>
      <c r="H14" s="15"/>
      <c r="I14" s="15">
        <v>3</v>
      </c>
      <c r="J14" s="15">
        <v>3</v>
      </c>
      <c r="K14" s="15"/>
      <c r="L14" s="15">
        <v>3</v>
      </c>
      <c r="M14" s="15">
        <v>3</v>
      </c>
      <c r="N14" s="16">
        <f>IF(COUNTA(D14:M14)=0,"",(D14*'03_Критерии'!$E$4+E14*'03_Критерии'!$E$5+F14*'03_Критерии'!$E$6+G14*'03_Критерии'!$E$7+H14*'03_Критерии'!$E$8+I14*'03_Критерии'!$E$9+J14*'03_Критерии'!$E$10+K14*'03_Критерии'!$E$11+L14*'03_Критерии'!$E$12+M14*'03_Критерии'!$E$13)/SUM('03_Критерии'!$E$4:$E$13))</f>
        <v>1.92</v>
      </c>
      <c r="O14" s="15" t="str">
        <f t="shared" si="0"/>
        <v>Низкое совпадение задачи</v>
      </c>
      <c r="P14" s="15" t="str">
        <f t="shared" si="1"/>
        <v>Смежная или потенциальная конкуренция</v>
      </c>
      <c r="Q14" s="15"/>
      <c r="R14" s="15" t="str">
        <f t="shared" si="2"/>
        <v>Смежная или потенциальная конкуренция</v>
      </c>
      <c r="S14" s="15" t="s">
        <v>228</v>
      </c>
      <c r="T14" s="15" t="s">
        <v>821</v>
      </c>
      <c r="U14" s="15" t="s">
        <v>670</v>
      </c>
      <c r="V14" s="17" t="s">
        <v>721</v>
      </c>
    </row>
    <row r="15" spans="1:26" s="18" customFormat="1" ht="28.5">
      <c r="A15" s="15" t="s">
        <v>56</v>
      </c>
      <c r="B15" s="15" t="str">
        <f>IFERROR(IF(INDEX('01_Компании'!$B$4:$B$25,MATCH(A15,'01_Компании'!$A$4:$A$25,0))="","",INDEX('01_Компании'!$B$4:$B$25,MATCH(A15,'01_Компании'!$A$4:$A$25,0))),"")</f>
        <v>Storm (StormBPMN)</v>
      </c>
      <c r="C15" s="15" t="str">
        <f>IFERROR(IF(INDEX('01_Компании'!$C$4:$C$25,MATCH(A15,'01_Компании'!$A$4:$A$25,0))="","",INDEX('01_Компании'!$C$4:$C$25,MATCH(A15,'01_Компании'!$A$4:$A$25,0))),"")</f>
        <v>stormbpmn.com</v>
      </c>
      <c r="D15" s="15">
        <v>3</v>
      </c>
      <c r="E15" s="15">
        <v>3</v>
      </c>
      <c r="F15" s="15">
        <v>2</v>
      </c>
      <c r="G15" s="15">
        <v>3</v>
      </c>
      <c r="H15" s="15"/>
      <c r="I15" s="15">
        <v>2</v>
      </c>
      <c r="J15" s="15">
        <v>5</v>
      </c>
      <c r="K15" s="15"/>
      <c r="L15" s="15">
        <v>1</v>
      </c>
      <c r="M15" s="15"/>
      <c r="N15" s="16">
        <f>IF(COUNTA(D15:M15)=0,"",(D15*'03_Критерии'!$E$4+E15*'03_Критерии'!$E$5+F15*'03_Критерии'!$E$6+G15*'03_Критерии'!$E$7+H15*'03_Критерии'!$E$8+I15*'03_Критерии'!$E$9+J15*'03_Критерии'!$E$10+K15*'03_Критерии'!$E$11+L15*'03_Критерии'!$E$12+M15*'03_Критерии'!$E$13)/SUM('03_Критерии'!$E$4:$E$13))</f>
        <v>2.2599999999999998</v>
      </c>
      <c r="O15" s="15" t="str">
        <f t="shared" si="0"/>
        <v>Низкая товарная заменяемость</v>
      </c>
      <c r="P15" s="15" t="str">
        <f t="shared" si="1"/>
        <v>Смежная или потенциальная конкуренция</v>
      </c>
      <c r="Q15" s="15"/>
      <c r="R15" s="15" t="str">
        <f t="shared" si="2"/>
        <v>Смежная или потенциальная конкуренция</v>
      </c>
      <c r="S15" s="15" t="s">
        <v>228</v>
      </c>
      <c r="T15" s="15" t="s">
        <v>822</v>
      </c>
      <c r="U15" s="15" t="s">
        <v>671</v>
      </c>
      <c r="V15" s="17" t="s">
        <v>721</v>
      </c>
    </row>
    <row r="16" spans="1:26" s="18" customFormat="1" ht="42.75">
      <c r="A16" s="15" t="s">
        <v>57</v>
      </c>
      <c r="B16" s="15" t="str">
        <f>IFERROR(IF(INDEX('01_Компании'!$B$4:$B$25,MATCH(A16,'01_Компании'!$A$4:$A$25,0))="","",INDEX('01_Компании'!$B$4:$B$25,MATCH(A16,'01_Компании'!$A$4:$A$25,0))),"")</f>
        <v>draw.io (diagrams.net)</v>
      </c>
      <c r="C16" s="15" t="str">
        <f>IFERROR(IF(INDEX('01_Компании'!$C$4:$C$25,MATCH(A16,'01_Компании'!$A$4:$A$25,0))="","",INDEX('01_Компании'!$C$4:$C$25,MATCH(A16,'01_Компании'!$A$4:$A$25,0))),"")</f>
        <v>app.diagrams.net</v>
      </c>
      <c r="D16" s="15">
        <v>3</v>
      </c>
      <c r="E16" s="15">
        <v>4</v>
      </c>
      <c r="F16" s="15">
        <v>3</v>
      </c>
      <c r="G16" s="15">
        <v>3</v>
      </c>
      <c r="H16" s="15">
        <v>4</v>
      </c>
      <c r="I16" s="15">
        <v>3</v>
      </c>
      <c r="J16" s="15">
        <v>4</v>
      </c>
      <c r="K16" s="15">
        <v>1</v>
      </c>
      <c r="L16" s="15">
        <v>5</v>
      </c>
      <c r="M16" s="15">
        <v>3</v>
      </c>
      <c r="N16" s="16">
        <f>IF(COUNTA(D16:M16)=0,"",(D16*'03_Критерии'!$E$4+E16*'03_Критерии'!$E$5+F16*'03_Критерии'!$E$6+G16*'03_Критерии'!$E$7+H16*'03_Критерии'!$E$8+I16*'03_Критерии'!$E$9+J16*'03_Критерии'!$E$10+K16*'03_Критерии'!$E$11+L16*'03_Критерии'!$E$12+M16*'03_Критерии'!$E$13)/SUM('03_Критерии'!$E$4:$E$13))</f>
        <v>3.24</v>
      </c>
      <c r="O16" s="15" t="str">
        <f t="shared" si="0"/>
        <v>Нет</v>
      </c>
      <c r="P16" s="15" t="str">
        <f t="shared" si="1"/>
        <v>Косвенный конкурент / заменитель</v>
      </c>
      <c r="Q16" s="15"/>
      <c r="R16" s="15" t="str">
        <f t="shared" si="2"/>
        <v>Косвенный конкурент / заменитель</v>
      </c>
      <c r="S16" s="15" t="s">
        <v>228</v>
      </c>
      <c r="T16" s="15" t="s">
        <v>823</v>
      </c>
      <c r="U16" s="15" t="s">
        <v>672</v>
      </c>
      <c r="V16" s="17" t="s">
        <v>721</v>
      </c>
    </row>
    <row r="17" spans="1:22" s="18" customFormat="1" ht="42.75">
      <c r="A17" s="15" t="s">
        <v>58</v>
      </c>
      <c r="B17" s="15" t="str">
        <f>IFERROR(IF(INDEX('01_Компании'!$B$4:$B$25,MATCH(A17,'01_Компании'!$A$4:$A$25,0))="","",INDEX('01_Компании'!$B$4:$B$25,MATCH(A17,'01_Компании'!$A$4:$A$25,0))),"")</f>
        <v>Lucidchart</v>
      </c>
      <c r="C17" s="15" t="str">
        <f>IFERROR(IF(INDEX('01_Компании'!$C$4:$C$25,MATCH(A17,'01_Компании'!$A$4:$A$25,0))="","",INDEX('01_Компании'!$C$4:$C$25,MATCH(A17,'01_Компании'!$A$4:$A$25,0))),"")</f>
        <v>lucidchart.com</v>
      </c>
      <c r="D17" s="15">
        <v>3</v>
      </c>
      <c r="E17" s="15">
        <v>3</v>
      </c>
      <c r="F17" s="15">
        <v>3</v>
      </c>
      <c r="G17" s="15">
        <v>3</v>
      </c>
      <c r="H17" s="15">
        <v>3</v>
      </c>
      <c r="I17" s="15">
        <v>3</v>
      </c>
      <c r="J17" s="15">
        <v>3</v>
      </c>
      <c r="K17" s="15">
        <v>5</v>
      </c>
      <c r="L17" s="15">
        <v>5</v>
      </c>
      <c r="M17" s="15"/>
      <c r="N17" s="16">
        <f>IF(COUNTA(D17:M17)=0,"",(D17*'03_Критерии'!$E$4+E17*'03_Критерии'!$E$5+F17*'03_Критерии'!$E$6+G17*'03_Критерии'!$E$7+H17*'03_Критерии'!$E$8+I17*'03_Критерии'!$E$9+J17*'03_Критерии'!$E$10+K17*'03_Критерии'!$E$11+L17*'03_Критерии'!$E$12+M17*'03_Критерии'!$E$13)/SUM('03_Критерии'!$E$4:$E$13))</f>
        <v>3.13</v>
      </c>
      <c r="O17" s="15" t="str">
        <f t="shared" si="0"/>
        <v>Нет</v>
      </c>
      <c r="P17" s="15" t="str">
        <f t="shared" si="1"/>
        <v>Косвенный конкурент / заменитель</v>
      </c>
      <c r="Q17" s="15"/>
      <c r="R17" s="15" t="str">
        <f t="shared" si="2"/>
        <v>Косвенный конкурент / заменитель</v>
      </c>
      <c r="S17" s="15" t="s">
        <v>228</v>
      </c>
      <c r="T17" s="15" t="s">
        <v>824</v>
      </c>
      <c r="U17" s="15" t="s">
        <v>674</v>
      </c>
      <c r="V17" s="17" t="s">
        <v>721</v>
      </c>
    </row>
    <row r="18" spans="1:22" s="18" customFormat="1" ht="42.75">
      <c r="A18" s="15" t="s">
        <v>59</v>
      </c>
      <c r="B18" s="15" t="str">
        <f>IFERROR(IF(INDEX('01_Компании'!$B$4:$B$25,MATCH(A18,'01_Компании'!$A$4:$A$25,0))="","",INDEX('01_Компании'!$B$4:$B$25,MATCH(A18,'01_Компании'!$A$4:$A$25,0))),"")</f>
        <v>Creately</v>
      </c>
      <c r="C18" s="15" t="str">
        <f>IFERROR(IF(INDEX('01_Компании'!$C$4:$C$25,MATCH(A18,'01_Компании'!$A$4:$A$25,0))="","",INDEX('01_Компании'!$C$4:$C$25,MATCH(A18,'01_Компании'!$A$4:$A$25,0))),"")</f>
        <v>creately.com</v>
      </c>
      <c r="D18" s="15">
        <v>3</v>
      </c>
      <c r="E18" s="15">
        <v>3</v>
      </c>
      <c r="F18" s="15">
        <v>3</v>
      </c>
      <c r="G18" s="15">
        <v>3</v>
      </c>
      <c r="H18" s="15">
        <v>4</v>
      </c>
      <c r="I18" s="15">
        <v>2</v>
      </c>
      <c r="J18" s="15">
        <v>2</v>
      </c>
      <c r="K18" s="15">
        <v>4</v>
      </c>
      <c r="L18" s="15">
        <v>5</v>
      </c>
      <c r="M18" s="15"/>
      <c r="N18" s="16">
        <f>IF(COUNTA(D18:M18)=0,"",(D18*'03_Критерии'!$E$4+E18*'03_Критерии'!$E$5+F18*'03_Критерии'!$E$6+G18*'03_Критерии'!$E$7+H18*'03_Критерии'!$E$8+I18*'03_Критерии'!$E$9+J18*'03_Критерии'!$E$10+K18*'03_Критерии'!$E$11+L18*'03_Критерии'!$E$12+M18*'03_Критерии'!$E$13)/SUM('03_Критерии'!$E$4:$E$13))</f>
        <v>2.99</v>
      </c>
      <c r="O18" s="15" t="str">
        <f t="shared" si="0"/>
        <v>Нет</v>
      </c>
      <c r="P18" s="15" t="str">
        <f t="shared" si="1"/>
        <v>Косвенный конкурент / заменитель</v>
      </c>
      <c r="Q18" s="15"/>
      <c r="R18" s="15" t="str">
        <f t="shared" si="2"/>
        <v>Косвенный конкурент / заменитель</v>
      </c>
      <c r="S18" s="15" t="s">
        <v>228</v>
      </c>
      <c r="T18" s="15" t="s">
        <v>825</v>
      </c>
      <c r="U18" s="15" t="s">
        <v>675</v>
      </c>
      <c r="V18" s="17" t="s">
        <v>721</v>
      </c>
    </row>
    <row r="19" spans="1:22" s="18" customFormat="1" ht="28.5">
      <c r="A19" s="15" t="s">
        <v>60</v>
      </c>
      <c r="B19" s="15" t="str">
        <f>IFERROR(IF(INDEX('01_Компании'!$B$4:$B$25,MATCH(A19,'01_Компании'!$A$4:$A$25,0))="","",INDEX('01_Компании'!$B$4:$B$25,MATCH(A19,'01_Компании'!$A$4:$A$25,0))),"")</f>
        <v>Miro</v>
      </c>
      <c r="C19" s="15" t="str">
        <f>IFERROR(IF(INDEX('01_Компании'!$C$4:$C$25,MATCH(A19,'01_Компании'!$A$4:$A$25,0))="","",INDEX('01_Компании'!$C$4:$C$25,MATCH(A19,'01_Компании'!$A$4:$A$25,0))),"")</f>
        <v>miro.com</v>
      </c>
      <c r="D19" s="15">
        <v>2</v>
      </c>
      <c r="E19" s="15">
        <v>2</v>
      </c>
      <c r="F19" s="15">
        <v>2</v>
      </c>
      <c r="G19" s="15">
        <v>2</v>
      </c>
      <c r="H19" s="15">
        <v>3</v>
      </c>
      <c r="I19" s="15">
        <v>3</v>
      </c>
      <c r="J19" s="15">
        <v>4</v>
      </c>
      <c r="K19" s="15">
        <v>5</v>
      </c>
      <c r="L19" s="15">
        <v>5</v>
      </c>
      <c r="M19" s="15"/>
      <c r="N19" s="16">
        <f>IF(COUNTA(D19:M19)=0,"",(D19*'03_Критерии'!$E$4+E19*'03_Критерии'!$E$5+F19*'03_Критерии'!$E$6+G19*'03_Критерии'!$E$7+H19*'03_Критерии'!$E$8+I19*'03_Критерии'!$E$9+J19*'03_Критерии'!$E$10+K19*'03_Критерии'!$E$11+L19*'03_Критерии'!$E$12+M19*'03_Критерии'!$E$13)/SUM('03_Критерии'!$E$4:$E$13))</f>
        <v>2.57</v>
      </c>
      <c r="O19" s="15" t="str">
        <f t="shared" si="0"/>
        <v>Низкое совпадение задачи</v>
      </c>
      <c r="P19" s="15" t="str">
        <f t="shared" si="1"/>
        <v>Косвенный конкурент / заменитель</v>
      </c>
      <c r="Q19" s="15"/>
      <c r="R19" s="15" t="str">
        <f t="shared" si="2"/>
        <v>Косвенный конкурент / заменитель</v>
      </c>
      <c r="S19" s="15" t="s">
        <v>228</v>
      </c>
      <c r="T19" s="15" t="s">
        <v>826</v>
      </c>
      <c r="U19" s="15" t="s">
        <v>676</v>
      </c>
      <c r="V19" s="17" t="s">
        <v>721</v>
      </c>
    </row>
    <row r="20" spans="1:22" s="18" customFormat="1" ht="28.5">
      <c r="A20" s="15" t="s">
        <v>61</v>
      </c>
      <c r="B20" s="15" t="str">
        <f>IFERROR(IF(INDEX('01_Компании'!$B$4:$B$25,MATCH(A20,'01_Компании'!$A$4:$A$25,0))="","",INDEX('01_Компании'!$B$4:$B$25,MATCH(A20,'01_Компании'!$A$4:$A$25,0))),"")</f>
        <v>Excalidraw</v>
      </c>
      <c r="C20" s="15" t="str">
        <f>IFERROR(IF(INDEX('01_Компании'!$C$4:$C$25,MATCH(A20,'01_Компании'!$A$4:$A$25,0))="","",INDEX('01_Компании'!$C$4:$C$25,MATCH(A20,'01_Компании'!$A$4:$A$25,0))),"")</f>
        <v>excalidraw.com</v>
      </c>
      <c r="D20" s="15">
        <v>2</v>
      </c>
      <c r="E20" s="15">
        <v>3</v>
      </c>
      <c r="F20" s="15">
        <v>2</v>
      </c>
      <c r="G20" s="15">
        <v>2</v>
      </c>
      <c r="H20" s="15"/>
      <c r="I20" s="15">
        <v>3</v>
      </c>
      <c r="J20" s="15">
        <v>3</v>
      </c>
      <c r="K20" s="15"/>
      <c r="L20" s="15">
        <v>3</v>
      </c>
      <c r="M20" s="15"/>
      <c r="N20" s="16">
        <f>IF(COUNTA(D20:M20)=0,"",(D20*'03_Критерии'!$E$4+E20*'03_Критерии'!$E$5+F20*'03_Критерии'!$E$6+G20*'03_Критерии'!$E$7+H20*'03_Критерии'!$E$8+I20*'03_Критерии'!$E$9+J20*'03_Критерии'!$E$10+K20*'03_Критерии'!$E$11+L20*'03_Критерии'!$E$12+M20*'03_Критерии'!$E$13)/SUM('03_Критерии'!$E$4:$E$13))</f>
        <v>1.98</v>
      </c>
      <c r="O20" s="15" t="str">
        <f t="shared" si="0"/>
        <v>Низкое совпадение задачи</v>
      </c>
      <c r="P20" s="15" t="str">
        <f t="shared" si="1"/>
        <v>Смежная или потенциальная конкуренция</v>
      </c>
      <c r="Q20" s="15"/>
      <c r="R20" s="15" t="str">
        <f t="shared" si="2"/>
        <v>Смежная или потенциальная конкуренция</v>
      </c>
      <c r="S20" s="15" t="s">
        <v>228</v>
      </c>
      <c r="T20" s="15" t="s">
        <v>827</v>
      </c>
      <c r="U20" s="15" t="s">
        <v>677</v>
      </c>
      <c r="V20" s="17" t="s">
        <v>721</v>
      </c>
    </row>
    <row r="21" spans="1:22" s="18" customFormat="1" ht="28.5">
      <c r="A21" s="15" t="s">
        <v>62</v>
      </c>
      <c r="B21" s="15" t="str">
        <f>IFERROR(IF(INDEX('01_Компании'!$B$4:$B$25,MATCH(A21,'01_Компании'!$A$4:$A$25,0))="","",INDEX('01_Компании'!$B$4:$B$25,MATCH(A21,'01_Компании'!$A$4:$A$25,0))),"")</f>
        <v>dbdiagram.io</v>
      </c>
      <c r="C21" s="15" t="str">
        <f>IFERROR(IF(INDEX('01_Компании'!$C$4:$C$25,MATCH(A21,'01_Компании'!$A$4:$A$25,0))="","",INDEX('01_Компании'!$C$4:$C$25,MATCH(A21,'01_Компании'!$A$4:$A$25,0))),"")</f>
        <v>dbdiagram.io</v>
      </c>
      <c r="D21" s="15">
        <v>3</v>
      </c>
      <c r="E21" s="15">
        <v>3</v>
      </c>
      <c r="F21" s="15">
        <v>2</v>
      </c>
      <c r="G21" s="15">
        <v>4</v>
      </c>
      <c r="H21" s="15">
        <v>3</v>
      </c>
      <c r="I21" s="15">
        <v>3</v>
      </c>
      <c r="J21" s="15">
        <v>2</v>
      </c>
      <c r="K21" s="15">
        <v>5</v>
      </c>
      <c r="L21" s="15">
        <v>3</v>
      </c>
      <c r="M21" s="15"/>
      <c r="N21" s="16">
        <f>IF(COUNTA(D21:M21)=0,"",(D21*'03_Критерии'!$E$4+E21*'03_Критерии'!$E$5+F21*'03_Критерии'!$E$6+G21*'03_Критерии'!$E$7+H21*'03_Критерии'!$E$8+I21*'03_Критерии'!$E$9+J21*'03_Критерии'!$E$10+K21*'03_Критерии'!$E$11+L21*'03_Критерии'!$E$12+M21*'03_Критерии'!$E$13)/SUM('03_Критерии'!$E$4:$E$13))</f>
        <v>2.9</v>
      </c>
      <c r="O21" s="15" t="str">
        <f t="shared" si="0"/>
        <v>Низкая товарная заменяемость</v>
      </c>
      <c r="P21" s="15" t="str">
        <f t="shared" si="1"/>
        <v>Косвенный конкурент / заменитель</v>
      </c>
      <c r="Q21" s="15"/>
      <c r="R21" s="15" t="str">
        <f t="shared" si="2"/>
        <v>Косвенный конкурент / заменитель</v>
      </c>
      <c r="S21" s="15" t="s">
        <v>228</v>
      </c>
      <c r="T21" s="15" t="s">
        <v>828</v>
      </c>
      <c r="U21" s="15" t="s">
        <v>678</v>
      </c>
      <c r="V21" s="17" t="s">
        <v>721</v>
      </c>
    </row>
    <row r="22" spans="1:22" s="18" customFormat="1" ht="28.5">
      <c r="A22" s="15" t="s">
        <v>63</v>
      </c>
      <c r="B22" s="15" t="str">
        <f>IFERROR(IF(INDEX('01_Компании'!$B$4:$B$25,MATCH(A22,'01_Компании'!$A$4:$A$25,0))="","",INDEX('01_Компании'!$B$4:$B$25,MATCH(A22,'01_Компании'!$A$4:$A$25,0))),"")</f>
        <v>DrawSQL</v>
      </c>
      <c r="C22" s="15" t="str">
        <f>IFERROR(IF(INDEX('01_Компании'!$C$4:$C$25,MATCH(A22,'01_Компании'!$A$4:$A$25,0))="","",INDEX('01_Компании'!$C$4:$C$25,MATCH(A22,'01_Компании'!$A$4:$A$25,0))),"")</f>
        <v>drawsql.app</v>
      </c>
      <c r="D22" s="15">
        <v>3</v>
      </c>
      <c r="E22" s="15">
        <v>3</v>
      </c>
      <c r="F22" s="15">
        <v>2</v>
      </c>
      <c r="G22" s="15">
        <v>3</v>
      </c>
      <c r="H22" s="15"/>
      <c r="I22" s="15"/>
      <c r="J22" s="15">
        <v>2</v>
      </c>
      <c r="K22" s="15"/>
      <c r="L22" s="15">
        <v>2</v>
      </c>
      <c r="M22" s="15"/>
      <c r="N22" s="16">
        <f>IF(COUNTA(D22:M22)=0,"",(D22*'03_Критерии'!$E$4+E22*'03_Критерии'!$E$5+F22*'03_Критерии'!$E$6+G22*'03_Критерии'!$E$7+H22*'03_Критерии'!$E$8+I22*'03_Критерии'!$E$9+J22*'03_Критерии'!$E$10+K22*'03_Критерии'!$E$11+L22*'03_Критерии'!$E$12+M22*'03_Критерии'!$E$13)/SUM('03_Критерии'!$E$4:$E$13))</f>
        <v>1.93</v>
      </c>
      <c r="O22" s="15" t="str">
        <f t="shared" si="0"/>
        <v>Низкая товарная заменяемость</v>
      </c>
      <c r="P22" s="15" t="str">
        <f t="shared" si="1"/>
        <v>Смежная или потенциальная конкуренция</v>
      </c>
      <c r="Q22" s="15"/>
      <c r="R22" s="15" t="str">
        <f t="shared" si="2"/>
        <v>Смежная или потенциальная конкуренция</v>
      </c>
      <c r="S22" s="15" t="s">
        <v>228</v>
      </c>
      <c r="T22" s="15" t="s">
        <v>829</v>
      </c>
      <c r="U22" s="15" t="s">
        <v>679</v>
      </c>
      <c r="V22" s="17" t="s">
        <v>721</v>
      </c>
    </row>
    <row r="23" spans="1:22" s="18" customFormat="1" ht="28.5">
      <c r="A23" s="15" t="s">
        <v>64</v>
      </c>
      <c r="B23" s="15" t="str">
        <f>IFERROR(IF(INDEX('01_Компании'!$B$4:$B$25,MATCH(A23,'01_Компании'!$A$4:$A$25,0))="","",INDEX('01_Компании'!$B$4:$B$25,MATCH(A23,'01_Компании'!$A$4:$A$25,0))),"")</f>
        <v>Eraser</v>
      </c>
      <c r="C23" s="15" t="str">
        <f>IFERROR(IF(INDEX('01_Компании'!$C$4:$C$25,MATCH(A23,'01_Компании'!$A$4:$A$25,0))="","",INDEX('01_Компании'!$C$4:$C$25,MATCH(A23,'01_Компании'!$A$4:$A$25,0))),"")</f>
        <v>eraser.io</v>
      </c>
      <c r="D23" s="15">
        <v>4</v>
      </c>
      <c r="E23" s="15">
        <v>3</v>
      </c>
      <c r="F23" s="15">
        <v>3</v>
      </c>
      <c r="G23" s="15">
        <v>4</v>
      </c>
      <c r="H23" s="15">
        <v>2</v>
      </c>
      <c r="I23" s="15"/>
      <c r="J23" s="15">
        <v>2</v>
      </c>
      <c r="K23" s="15">
        <v>5</v>
      </c>
      <c r="L23" s="15">
        <v>3</v>
      </c>
      <c r="M23" s="15"/>
      <c r="N23" s="16">
        <f>IF(COUNTA(D23:M23)=0,"",(D23*'03_Критерии'!$E$4+E23*'03_Критерии'!$E$5+F23*'03_Критерии'!$E$6+G23*'03_Критерии'!$E$7+H23*'03_Критерии'!$E$8+I23*'03_Критерии'!$E$9+J23*'03_Критерии'!$E$10+K23*'03_Критерии'!$E$11+L23*'03_Критерии'!$E$12+M23*'03_Критерии'!$E$13)/SUM('03_Критерии'!$E$4:$E$13))</f>
        <v>2.96</v>
      </c>
      <c r="O23" s="15" t="str">
        <f t="shared" si="0"/>
        <v>Нет</v>
      </c>
      <c r="P23" s="15" t="str">
        <f t="shared" si="1"/>
        <v>Косвенный конкурент / заменитель</v>
      </c>
      <c r="Q23" s="15"/>
      <c r="R23" s="15" t="str">
        <f t="shared" si="2"/>
        <v>Косвенный конкурент / заменитель</v>
      </c>
      <c r="S23" s="15" t="s">
        <v>228</v>
      </c>
      <c r="T23" s="15" t="s">
        <v>830</v>
      </c>
      <c r="U23" s="15" t="s">
        <v>682</v>
      </c>
      <c r="V23" s="17" t="s">
        <v>721</v>
      </c>
    </row>
    <row r="24" spans="1:22" s="18" customFormat="1" ht="42.75">
      <c r="A24" s="15" t="s">
        <v>65</v>
      </c>
      <c r="B24" s="15" t="str">
        <f>IFERROR(IF(INDEX('01_Компании'!$B$4:$B$25,MATCH(A24,'01_Компании'!$A$4:$A$25,0))="","",INDEX('01_Компании'!$B$4:$B$25,MATCH(A24,'01_Компании'!$A$4:$A$25,0))),"")</f>
        <v>Whimsical</v>
      </c>
      <c r="C24" s="15" t="str">
        <f>IFERROR(IF(INDEX('01_Компании'!$C$4:$C$25,MATCH(A24,'01_Компании'!$A$4:$A$25,0))="","",INDEX('01_Компании'!$C$4:$C$25,MATCH(A24,'01_Компании'!$A$4:$A$25,0))),"")</f>
        <v>whimsical.com</v>
      </c>
      <c r="D24" s="15">
        <v>3</v>
      </c>
      <c r="E24" s="15">
        <v>3</v>
      </c>
      <c r="F24" s="15">
        <v>2</v>
      </c>
      <c r="G24" s="15">
        <v>3</v>
      </c>
      <c r="H24" s="15">
        <v>3</v>
      </c>
      <c r="I24" s="15"/>
      <c r="J24" s="15"/>
      <c r="K24" s="15">
        <v>5</v>
      </c>
      <c r="L24" s="15">
        <v>2</v>
      </c>
      <c r="M24" s="15"/>
      <c r="N24" s="16">
        <f>IF(COUNTA(D24:M24)=0,"",(D24*'03_Критерии'!$E$4+E24*'03_Критерии'!$E$5+F24*'03_Критерии'!$E$6+G24*'03_Критерии'!$E$7+H24*'03_Критерии'!$E$8+I24*'03_Критерии'!$E$9+J24*'03_Критерии'!$E$10+K24*'03_Критерии'!$E$11+L24*'03_Критерии'!$E$12+M24*'03_Критерии'!$E$13)/SUM('03_Критерии'!$E$4:$E$13))</f>
        <v>2.38</v>
      </c>
      <c r="O24" s="15" t="str">
        <f t="shared" si="0"/>
        <v>Низкая товарная заменяемость</v>
      </c>
      <c r="P24" s="15" t="str">
        <f t="shared" si="1"/>
        <v>Смежная или потенциальная конкуренция</v>
      </c>
      <c r="Q24" s="15"/>
      <c r="R24" s="15" t="str">
        <f t="shared" si="2"/>
        <v>Смежная или потенциальная конкуренция</v>
      </c>
      <c r="S24" s="15" t="s">
        <v>228</v>
      </c>
      <c r="T24" s="15" t="s">
        <v>831</v>
      </c>
      <c r="U24" s="15" t="s">
        <v>684</v>
      </c>
      <c r="V24" s="17" t="s">
        <v>721</v>
      </c>
    </row>
    <row r="25" spans="1:22" s="18" customFormat="1" ht="28.5">
      <c r="A25" s="15" t="s">
        <v>66</v>
      </c>
      <c r="B25" s="15" t="str">
        <f>IFERROR(IF(INDEX('01_Компании'!$B$4:$B$25,MATCH(A25,'01_Компании'!$A$4:$A$25,0))="","",INDEX('01_Компании'!$B$4:$B$25,MATCH(A25,'01_Компании'!$A$4:$A$25,0))),"")</f>
        <v>Microsoft Visio</v>
      </c>
      <c r="C25" s="15" t="str">
        <f>IFERROR(IF(INDEX('01_Компании'!$C$4:$C$25,MATCH(A25,'01_Компании'!$A$4:$A$25,0))="","",INDEX('01_Компании'!$C$4:$C$25,MATCH(A25,'01_Компании'!$A$4:$A$25,0))),"")</f>
        <v>microsoft.com/visio</v>
      </c>
      <c r="D25" s="15">
        <v>3</v>
      </c>
      <c r="E25" s="15">
        <v>3</v>
      </c>
      <c r="F25" s="15">
        <v>2</v>
      </c>
      <c r="G25" s="15">
        <v>2</v>
      </c>
      <c r="H25" s="15">
        <v>4</v>
      </c>
      <c r="I25" s="15">
        <v>2</v>
      </c>
      <c r="J25" s="15">
        <v>4</v>
      </c>
      <c r="K25" s="15">
        <v>4</v>
      </c>
      <c r="L25" s="15"/>
      <c r="M25" s="15"/>
      <c r="N25" s="16">
        <f>IF(COUNTA(D25:M25)=0,"",(D25*'03_Критерии'!$E$4+E25*'03_Критерии'!$E$5+F25*'03_Критерии'!$E$6+G25*'03_Критерии'!$E$7+H25*'03_Критерии'!$E$8+I25*'03_Критерии'!$E$9+J25*'03_Критерии'!$E$10+K25*'03_Критерии'!$E$11+L25*'03_Критерии'!$E$12+M25*'03_Критерии'!$E$13)/SUM('03_Критерии'!$E$4:$E$13))</f>
        <v>2.65</v>
      </c>
      <c r="O25" s="15" t="str">
        <f t="shared" si="0"/>
        <v>Низкая товарная заменяемость</v>
      </c>
      <c r="P25" s="15" t="str">
        <f t="shared" si="1"/>
        <v>Косвенный конкурент / заменитель</v>
      </c>
      <c r="Q25" s="15"/>
      <c r="R25" s="15" t="str">
        <f t="shared" si="2"/>
        <v>Косвенный конкурент / заменитель</v>
      </c>
      <c r="S25" s="15" t="s">
        <v>228</v>
      </c>
      <c r="T25" s="15" t="s">
        <v>832</v>
      </c>
      <c r="U25" s="15" t="s">
        <v>686</v>
      </c>
      <c r="V25" s="17" t="s">
        <v>721</v>
      </c>
    </row>
  </sheetData>
  <mergeCells count="1">
    <mergeCell ref="A1:V1"/>
  </mergeCells>
  <conditionalFormatting sqref="N4:N25">
    <cfRule type="colorScale" priority="8">
      <colorScale>
        <cfvo type="min"/>
        <cfvo type="percentile" val="50"/>
        <cfvo type="max"/>
        <color rgb="FFFCE4D6"/>
        <color rgb="FFFFF2CC"/>
        <color rgb="FFDDEEDC"/>
      </colorScale>
    </cfRule>
  </conditionalFormatting>
  <conditionalFormatting sqref="R4:R25">
    <cfRule type="expression" dxfId="5" priority="2">
      <formula>R4="Прямой конкурент"</formula>
    </cfRule>
    <cfRule type="expression" dxfId="4" priority="3">
      <formula>R4="Близкий альтернативный конкурент"</formula>
    </cfRule>
    <cfRule type="expression" dxfId="3" priority="4">
      <formula>R4="Косвенный конкурент / заменитель"</formula>
    </cfRule>
    <cfRule type="expression" dxfId="2" priority="5">
      <formula>R4="Не конкурент / объект наблюдения"</formula>
    </cfRule>
  </conditionalFormatting>
  <conditionalFormatting sqref="S4:S25">
    <cfRule type="expression" dxfId="1" priority="6">
      <formula>S4="Проверено"</formula>
    </cfRule>
    <cfRule type="expression" dxfId="0" priority="7">
      <formula>S4="Требует уточнения"</formula>
    </cfRule>
  </conditionalFormatting>
  <dataValidations count="1">
    <dataValidation sqref="D4:M25" xr:uid="{00000000-0002-0000-0400-000000000000}">
      <formula1>0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1000000}">
          <x14:formula1>
            <xm:f>'08_Справочники'!$A$2:$A$7</xm:f>
          </x14:formula1>
          <xm:sqref>Q4:R25</xm:sqref>
        </x14:dataValidation>
        <x14:dataValidation type="list" allowBlank="1" showInputMessage="1" showErrorMessage="1" xr:uid="{D3EAE8DC-327D-4DCF-89F1-F93CE1DDFD79}">
          <x14:formula1>
            <xm:f>'08_Справочники'!$B$2:$B$6</xm:f>
          </x14:formula1>
          <xm:sqref>S4:S25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"/>
  <sheetViews>
    <sheetView topLeftCell="F1" workbookViewId="0">
      <selection activeCell="G29" sqref="G29"/>
    </sheetView>
  </sheetViews>
  <sheetFormatPr defaultRowHeight="14.25"/>
  <cols>
    <col min="1" max="1" width="48.625" customWidth="1"/>
    <col min="2" max="3" width="55.625" customWidth="1"/>
    <col min="4" max="4" width="48.625" customWidth="1"/>
    <col min="5" max="7" width="55.625" customWidth="1"/>
    <col min="8" max="26" width="9.625" customWidth="1"/>
  </cols>
  <sheetData>
    <row r="1" spans="1:26" ht="15" customHeight="1">
      <c r="A1" s="20" t="s">
        <v>171</v>
      </c>
      <c r="B1" s="21" t="s">
        <v>171</v>
      </c>
      <c r="C1" s="21" t="s">
        <v>171</v>
      </c>
      <c r="D1" s="21" t="s">
        <v>171</v>
      </c>
      <c r="E1" s="21" t="s">
        <v>171</v>
      </c>
      <c r="F1" s="21" t="s">
        <v>171</v>
      </c>
      <c r="G1" s="21" t="s">
        <v>171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 t="s">
        <v>172</v>
      </c>
      <c r="B3" s="7" t="s">
        <v>173</v>
      </c>
      <c r="C3" s="7" t="s">
        <v>174</v>
      </c>
      <c r="D3" s="7" t="s">
        <v>175</v>
      </c>
      <c r="E3" s="7" t="s">
        <v>176</v>
      </c>
      <c r="F3" s="7" t="s">
        <v>177</v>
      </c>
      <c r="G3" s="7" t="s">
        <v>178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42.75">
      <c r="A4" s="2" t="s">
        <v>179</v>
      </c>
      <c r="B4" s="2" t="s">
        <v>833</v>
      </c>
      <c r="C4" s="2" t="s">
        <v>834</v>
      </c>
      <c r="D4" s="2" t="s">
        <v>180</v>
      </c>
      <c r="E4" s="2" t="s">
        <v>835</v>
      </c>
      <c r="F4" s="2" t="s">
        <v>836</v>
      </c>
      <c r="G4" s="2" t="s">
        <v>837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42.75">
      <c r="A5" s="2" t="s">
        <v>181</v>
      </c>
      <c r="B5" s="2" t="s">
        <v>838</v>
      </c>
      <c r="C5" s="2" t="s">
        <v>839</v>
      </c>
      <c r="D5" s="2" t="s">
        <v>182</v>
      </c>
      <c r="E5" s="2" t="s">
        <v>840</v>
      </c>
      <c r="F5" s="2" t="s">
        <v>841</v>
      </c>
      <c r="G5" s="2" t="s">
        <v>842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42.75">
      <c r="A6" s="2" t="s">
        <v>183</v>
      </c>
      <c r="B6" s="2" t="s">
        <v>843</v>
      </c>
      <c r="C6" s="2" t="s">
        <v>844</v>
      </c>
      <c r="D6" s="2" t="s">
        <v>184</v>
      </c>
      <c r="E6" s="2" t="s">
        <v>845</v>
      </c>
      <c r="F6" s="2" t="s">
        <v>846</v>
      </c>
      <c r="G6" s="2" t="s">
        <v>847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42.75">
      <c r="A7" s="2" t="s">
        <v>185</v>
      </c>
      <c r="B7" s="2" t="s">
        <v>848</v>
      </c>
      <c r="C7" s="2" t="s">
        <v>849</v>
      </c>
      <c r="D7" s="2" t="s">
        <v>186</v>
      </c>
      <c r="E7" s="2" t="s">
        <v>850</v>
      </c>
      <c r="F7" s="2" t="s">
        <v>851</v>
      </c>
      <c r="G7" s="2" t="s">
        <v>852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5">
      <c r="A8" s="2" t="s">
        <v>187</v>
      </c>
      <c r="B8" s="2" t="s">
        <v>853</v>
      </c>
      <c r="C8" s="2" t="s">
        <v>854</v>
      </c>
      <c r="D8" s="2" t="s">
        <v>188</v>
      </c>
      <c r="E8" s="2" t="s">
        <v>855</v>
      </c>
      <c r="F8" s="2" t="s">
        <v>856</v>
      </c>
      <c r="G8" s="2" t="s">
        <v>857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5">
      <c r="A9" s="2" t="s">
        <v>189</v>
      </c>
      <c r="B9" s="2" t="s">
        <v>858</v>
      </c>
      <c r="C9" s="2" t="s">
        <v>859</v>
      </c>
      <c r="D9" s="2" t="s">
        <v>190</v>
      </c>
      <c r="E9" s="2" t="s">
        <v>860</v>
      </c>
      <c r="F9" s="2" t="s">
        <v>861</v>
      </c>
      <c r="G9" s="2" t="s">
        <v>862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8"/>
  <sheetViews>
    <sheetView zoomScale="70" zoomScaleNormal="70" workbookViewId="0">
      <selection activeCell="D38" sqref="D38"/>
    </sheetView>
  </sheetViews>
  <sheetFormatPr defaultRowHeight="14.25"/>
  <cols>
    <col min="1" max="1" width="38" customWidth="1"/>
    <col min="2" max="2" width="23.75" customWidth="1"/>
    <col min="3" max="3" width="26.625" customWidth="1"/>
    <col min="4" max="4" width="21" customWidth="1"/>
    <col min="5" max="5" width="34" customWidth="1"/>
    <col min="6" max="6" width="66.875" customWidth="1"/>
  </cols>
  <sheetData>
    <row r="1" spans="1:26" ht="16.149999999999999" customHeight="1">
      <c r="A1" s="20" t="s">
        <v>191</v>
      </c>
      <c r="B1" s="21" t="s">
        <v>191</v>
      </c>
      <c r="C1" s="21" t="s">
        <v>191</v>
      </c>
      <c r="D1" s="21" t="s">
        <v>191</v>
      </c>
      <c r="E1" s="21" t="s">
        <v>191</v>
      </c>
      <c r="F1" s="21" t="s">
        <v>191</v>
      </c>
      <c r="G1" s="21" t="s">
        <v>191</v>
      </c>
      <c r="H1" s="21" t="s">
        <v>191</v>
      </c>
      <c r="I1" s="21" t="s">
        <v>191</v>
      </c>
      <c r="J1" s="21" t="s">
        <v>191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7" t="s">
        <v>192</v>
      </c>
      <c r="B3" s="7" t="s">
        <v>193</v>
      </c>
      <c r="C3" s="2"/>
      <c r="D3" s="2"/>
      <c r="E3" s="2"/>
      <c r="F3" s="2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2" t="s">
        <v>194</v>
      </c>
      <c r="B4" s="2">
        <f>COUNTA('01_Компании'!$B$4:$B$25)</f>
        <v>22</v>
      </c>
      <c r="C4" s="2"/>
      <c r="D4" s="2"/>
      <c r="E4" s="2"/>
      <c r="F4" s="2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2" t="s">
        <v>195</v>
      </c>
      <c r="B5" s="2">
        <f>COUNT('04_Оценка'!$N$4:$N$25)</f>
        <v>22</v>
      </c>
      <c r="C5" s="2"/>
      <c r="D5" s="2"/>
      <c r="E5" s="2"/>
      <c r="F5" s="2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2" t="s">
        <v>196</v>
      </c>
      <c r="B6" s="3">
        <f>IFERROR(AVERAGE('04_Оценка'!$N$4:$N$25),"")</f>
        <v>2.8263636363636362</v>
      </c>
      <c r="C6" s="2"/>
      <c r="D6" s="2"/>
      <c r="E6" s="2"/>
      <c r="F6" s="2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57">
      <c r="A7" s="2" t="s">
        <v>197</v>
      </c>
      <c r="B7" s="2">
        <f>COUNTIF('04_Оценка'!$R$4:$R$25,"Прямой конкурент")</f>
        <v>1</v>
      </c>
      <c r="C7" s="11">
        <v>0.05</v>
      </c>
      <c r="D7" s="2" t="s">
        <v>203</v>
      </c>
      <c r="E7" s="2"/>
      <c r="F7" s="2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42.75">
      <c r="A8" s="2" t="s">
        <v>198</v>
      </c>
      <c r="B8" s="2">
        <f>COUNTIF('04_Оценка'!$R$4:$R$25,"Близкий альтернативный конкурент")</f>
        <v>4</v>
      </c>
      <c r="C8" s="11">
        <v>0.18</v>
      </c>
      <c r="D8" s="2" t="s">
        <v>204</v>
      </c>
      <c r="E8" s="2"/>
      <c r="F8" s="2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2"/>
      <c r="B9" s="2"/>
      <c r="C9" s="2"/>
      <c r="D9" s="2"/>
      <c r="E9" s="2"/>
      <c r="F9" s="2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0">
      <c r="A10" s="7" t="s">
        <v>199</v>
      </c>
      <c r="B10" s="7" t="s">
        <v>200</v>
      </c>
      <c r="C10" s="7" t="s">
        <v>201</v>
      </c>
      <c r="D10" s="7" t="s">
        <v>202</v>
      </c>
      <c r="E10" s="2"/>
      <c r="F10" s="2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57">
      <c r="A11" s="2" t="s">
        <v>179</v>
      </c>
      <c r="B11" s="2">
        <f>COUNTIF('04_Оценка'!$R$4:$R$25,A11)</f>
        <v>1</v>
      </c>
      <c r="C11" s="11">
        <f t="shared" ref="C11:C16" si="0">IFERROR(B11/SUM($B$11:$B$16),0)</f>
        <v>4.5454545454545456E-2</v>
      </c>
      <c r="D11" s="2" t="s">
        <v>203</v>
      </c>
      <c r="E11" s="2"/>
      <c r="F11" s="2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42.75">
      <c r="A12" s="2" t="s">
        <v>181</v>
      </c>
      <c r="B12" s="2">
        <f>COUNTIF('04_Оценка'!$R$4:$R$25,A12)</f>
        <v>4</v>
      </c>
      <c r="C12" s="11">
        <f t="shared" si="0"/>
        <v>0.18181818181818182</v>
      </c>
      <c r="D12" s="2" t="s">
        <v>204</v>
      </c>
      <c r="E12" s="2"/>
      <c r="F12" s="2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57">
      <c r="A13" s="2" t="s">
        <v>183</v>
      </c>
      <c r="B13" s="2">
        <f>COUNTIF('04_Оценка'!$R$4:$R$25,A13)</f>
        <v>9</v>
      </c>
      <c r="C13" s="11">
        <f t="shared" si="0"/>
        <v>0.40909090909090912</v>
      </c>
      <c r="D13" s="2" t="s">
        <v>205</v>
      </c>
      <c r="E13" s="2"/>
      <c r="F13" s="2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8.5">
      <c r="A14" s="2" t="s">
        <v>185</v>
      </c>
      <c r="B14" s="2">
        <f>COUNTIF('04_Оценка'!$R$4:$R$25,A14)</f>
        <v>7</v>
      </c>
      <c r="C14" s="11">
        <f t="shared" si="0"/>
        <v>0.31818181818181818</v>
      </c>
      <c r="D14" s="2" t="s">
        <v>206</v>
      </c>
      <c r="E14" s="2"/>
      <c r="F14" s="2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8.5">
      <c r="A15" s="2" t="s">
        <v>187</v>
      </c>
      <c r="B15" s="2">
        <f>COUNTIF('04_Оценка'!$R$4:$R$25,A15)</f>
        <v>0</v>
      </c>
      <c r="C15" s="11">
        <f t="shared" si="0"/>
        <v>0</v>
      </c>
      <c r="D15" s="2" t="s">
        <v>207</v>
      </c>
      <c r="E15" s="2"/>
      <c r="F15" s="2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8.5">
      <c r="A16" s="2" t="s">
        <v>189</v>
      </c>
      <c r="B16" s="2">
        <f>COUNTIF('04_Оценка'!$R$4:$R$25,A16)</f>
        <v>1</v>
      </c>
      <c r="C16" s="11">
        <f t="shared" si="0"/>
        <v>4.5454545454545456E-2</v>
      </c>
      <c r="D16" s="2" t="s">
        <v>208</v>
      </c>
      <c r="E16" s="2"/>
      <c r="F16" s="2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2"/>
      <c r="B17" s="2"/>
      <c r="C17" s="2"/>
      <c r="D17" s="2"/>
      <c r="E17" s="2"/>
      <c r="F17" s="2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0">
      <c r="A18" s="7" t="s">
        <v>209</v>
      </c>
      <c r="B18" s="7" t="s">
        <v>33</v>
      </c>
      <c r="C18" s="7" t="s">
        <v>34</v>
      </c>
      <c r="D18" s="7" t="s">
        <v>210</v>
      </c>
      <c r="E18" s="7" t="s">
        <v>21</v>
      </c>
      <c r="F18" s="7" t="s">
        <v>211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s="18" customFormat="1" ht="171">
      <c r="A19" s="15">
        <v>1</v>
      </c>
      <c r="B19" s="15" t="str">
        <f t="array" ref="B19">IF(D19="","",INDEX('04_Оценка'!$B$4:$B$25,_xlfn.AGGREGATE(15,6,(ROW('04_Оценка'!$N$4:$N$25)-ROW('04_Оценка'!$N$4)+1)/('04_Оценка'!$N$4:$N$25=D19),COUNTIF($D$19:D19,D19))))</f>
        <v>PlantUML</v>
      </c>
      <c r="C19" s="15" t="str">
        <f t="array" ref="C19">IF(D19="","",INDEX('04_Оценка'!$C$4:$C$25,_xlfn.AGGREGATE(15,6,(ROW('04_Оценка'!$N$4:$N$25)-ROW('04_Оценка'!$N$4)+1)/('04_Оценка'!$N$4:$N$25=D19),COUNTIF($D$19:D19,D19))))</f>
        <v>plantuml.com</v>
      </c>
      <c r="D19" s="16">
        <f>IFERROR(LARGE('04_Оценка'!$N$4:$N$25,A19),"")</f>
        <v>4.0999999999999996</v>
      </c>
      <c r="E19" s="15" t="str">
        <f t="array" ref="E19">IF(D19="","",INDEX('04_Оценка'!$R$4:$R$25,_xlfn.AGGREGATE(15,6,(ROW('04_Оценка'!$N$4:$N$25)-ROW('04_Оценка'!$N$4)+1)/('04_Оценка'!$N$4:$N$25=D19),COUNTIF($D$19:D19,D19))))</f>
        <v>Прямой конкурент</v>
      </c>
      <c r="F19" s="15" t="str">
        <f t="array" ref="F19">IF(D19="","",INDEX('04_Оценка'!$T$4:$T$25,_xlfn.AGGREGATE(15,6,(ROW('04_Оценка'!$N$4:$N$25)-ROW('04_Оценка'!$N$4)+1)/('04_Оценка'!$N$4:$N$25=D19),COUNTIF($D$19:D19,D19))))</f>
        <v>Экспертная корректировка: Расчетный балл 4,10 лишь на 0,10 ниже порога 4,20; по правилу методики (индекс 65-79 и постоянное присутствие в тех же запросах) допускается повышение до прямого. Подтверждения: (1) запрос «plantuml» - 200 запросов в месяц в Беларуси (Вордстат, 29.08-27.09.2026), максимум среди брендов текстовых DSL; (2) страница товара и описание совпадают с задачей NotaCode (title/description 30.09.2026); (3) ЛР1 табл. 44 относит PlantUML к прямым конкурентам; (4) плагины IDE: 3 712 111 установок VS Marketplace и 5 014 362 загрузки JetBrains (ЛР2-3). Уверенность: средняя. Similarweb Pro: 739 657 визитов в месяц (июнь-август 2026). Вордстат, Беларусь: 200 запр. в месяц. Цена: открытый код, бесплатно (ЛР1, табл. 42). Главное обещание совпадает с задачей NotaCode: диаграммы UML из текста</v>
      </c>
    </row>
    <row r="20" spans="1:26" s="18" customFormat="1" ht="71.25">
      <c r="A20" s="15">
        <v>2</v>
      </c>
      <c r="B20" s="15" t="str">
        <f t="array" ref="B20">IF(D20="","",INDEX('04_Оценка'!$B$4:$B$25,_xlfn.AGGREGATE(15,6,(ROW('04_Оценка'!$N$4:$N$25)-ROW('04_Оценка'!$N$4)+1)/('04_Оценка'!$N$4:$N$25=D20),COUNTIF($D$19:D20,D20))))</f>
        <v>Mermaid (библиотека)</v>
      </c>
      <c r="C20" s="15" t="str">
        <f t="array" ref="C20">IF(D20="","",INDEX('04_Оценка'!$C$4:$C$25,_xlfn.AGGREGATE(15,6,(ROW('04_Оценка'!$N$4:$N$25)-ROW('04_Оценка'!$N$4)+1)/('04_Оценка'!$N$4:$N$25=D20),COUNTIF($D$19:D20,D20))))</f>
        <v>mermaid.js.org</v>
      </c>
      <c r="D20" s="16">
        <f>IFERROR(LARGE('04_Оценка'!$N$4:$N$25,A20),"")</f>
        <v>4.07</v>
      </c>
      <c r="E20" s="15" t="str">
        <f t="array" ref="E20">IF(D20="","",INDEX('04_Оценка'!$R$4:$R$25,_xlfn.AGGREGATE(15,6,(ROW('04_Оценка'!$N$4:$N$25)-ROW('04_Оценка'!$N$4)+1)/('04_Оценка'!$N$4:$N$25=D20),COUNTIF($D$19:D20,D20))))</f>
        <v>Близкий альтернативный конкурент</v>
      </c>
      <c r="F20" s="15" t="str">
        <f t="array" ref="F20">IF(D20="","",INDEX('04_Оценка'!$T$4:$T$25,_xlfn.AGGREGATE(15,6,(ROW('04_Оценка'!$N$4:$N$25)-ROW('04_Оценка'!$N$4)+1)/('04_Оценка'!$N$4:$N$25=D20),COUNTIF($D$19:D20,D20))))</f>
        <v>Уверенность: средняя. Similarweb Pro: 442 646 визитов в месяц (июнь-август 2026). Вордстат, Беларусь: 19 запр. в месяц. Цена: открытый код (MIT); платные планы у Mermaid Chart. Задача та же (диаграммы из текста и кода), нотаций UML/BPMN/IDEF как набора с проверкой правил в описании нет</v>
      </c>
    </row>
    <row r="21" spans="1:26" s="18" customFormat="1" ht="57">
      <c r="A21" s="15">
        <v>3</v>
      </c>
      <c r="B21" s="15" t="str">
        <f t="array" ref="B21">IF(D21="","",INDEX('04_Оценка'!$B$4:$B$25,_xlfn.AGGREGATE(15,6,(ROW('04_Оценка'!$N$4:$N$25)-ROW('04_Оценка'!$N$4)+1)/('04_Оценка'!$N$4:$N$25=D21),COUNTIF($D$19:D21,D21))))</f>
        <v>PlantText</v>
      </c>
      <c r="C21" s="15" t="str">
        <f t="array" ref="C21">IF(D21="","",INDEX('04_Оценка'!$C$4:$C$25,_xlfn.AGGREGATE(15,6,(ROW('04_Оценка'!$N$4:$N$25)-ROW('04_Оценка'!$N$4)+1)/('04_Оценка'!$N$4:$N$25=D21),COUNTIF($D$19:D21,D21))))</f>
        <v>planttext.com</v>
      </c>
      <c r="D21" s="16">
        <f>IFERROR(LARGE('04_Оценка'!$N$4:$N$25,A21),"")</f>
        <v>3.72</v>
      </c>
      <c r="E21" s="15" t="str">
        <f t="array" ref="E21">IF(D21="","",INDEX('04_Оценка'!$R$4:$R$25,_xlfn.AGGREGATE(15,6,(ROW('04_Оценка'!$N$4:$N$25)-ROW('04_Оценка'!$N$4)+1)/('04_Оценка'!$N$4:$N$25=D21),COUNTIF($D$19:D21,D21))))</f>
        <v>Близкий альтернативный конкурент</v>
      </c>
      <c r="F21" s="15" t="str">
        <f t="array" ref="F21">IF(D21="","",INDEX('04_Оценка'!$T$4:$T$25,_xlfn.AGGREGATE(15,6,(ROW('04_Оценка'!$N$4:$N$25)-ROW('04_Оценка'!$N$4)+1)/('04_Оценка'!$N$4:$N$25=D21),COUNTIF($D$19:D21,D21))))</f>
        <v>Уверенность: средняя. Similarweb Pro: 339 451 визитов в месяц (июнь-август 2026). Вордстат, Беларусь: 9 запр. в месяц. Цена: заголовок страницы: Free &amp; Fast. В заголовке заявлены бесплатность и онлайн-доступ; редактор поверх PlantUML</v>
      </c>
    </row>
    <row r="22" spans="1:26" s="18" customFormat="1" ht="57">
      <c r="A22" s="15">
        <v>4</v>
      </c>
      <c r="B22" s="15" t="str">
        <f t="array" ref="B22">IF(D22="","",INDEX('04_Оценка'!$B$4:$B$25,_xlfn.AGGREGATE(15,6,(ROW('04_Оценка'!$N$4:$N$25)-ROW('04_Оценка'!$N$4)+1)/('04_Оценка'!$N$4:$N$25=D22),COUNTIF($D$19:D22,D22))))</f>
        <v>Mermaid Chart</v>
      </c>
      <c r="C22" s="15" t="str">
        <f t="array" ref="C22">IF(D22="","",INDEX('04_Оценка'!$C$4:$C$25,_xlfn.AGGREGATE(15,6,(ROW('04_Оценка'!$N$4:$N$25)-ROW('04_Оценка'!$N$4)+1)/('04_Оценка'!$N$4:$N$25=D22),COUNTIF($D$19:D22,D22))))</f>
        <v>mermaidchart.com</v>
      </c>
      <c r="D22" s="16">
        <f>IFERROR(LARGE('04_Оценка'!$N$4:$N$25,A22),"")</f>
        <v>3.71</v>
      </c>
      <c r="E22" s="15" t="str">
        <f t="array" ref="E22">IF(D22="","",INDEX('04_Оценка'!$R$4:$R$25,_xlfn.AGGREGATE(15,6,(ROW('04_Оценка'!$N$4:$N$25)-ROW('04_Оценка'!$N$4)+1)/('04_Оценка'!$N$4:$N$25=D22),COUNTIF($D$19:D22,D22))))</f>
        <v>Близкий альтернативный конкурент</v>
      </c>
      <c r="F22" s="15" t="str">
        <f t="array" ref="F22">IF(D22="","",INDEX('04_Оценка'!$T$4:$T$25,_xlfn.AGGREGATE(15,6,(ROW('04_Оценка'!$N$4:$N$25)-ROW('04_Оценка'!$N$4)+1)/('04_Оценка'!$N$4:$N$25=D22),COUNTIF($D$19:D22,D22))))</f>
        <v>Уверенность: средняя. Similarweb Pro: 2 535 визитов в месяц (июнь-август 2026). Вордстат, Беларусь: 0 запр. в месяц. Тарифы: Free (до 6 диаграмм, 15 AI-кредитов). Платная надстройка над Mermaid; домен, вероятно, перенесен на mermaid.ai (трафик mermaidchart.com -82,22 %)</v>
      </c>
    </row>
    <row r="23" spans="1:26" s="18" customFormat="1" ht="57">
      <c r="A23" s="15">
        <v>5</v>
      </c>
      <c r="B23" s="15" t="str">
        <f t="array" ref="B23">IF(D23="","",INDEX('04_Оценка'!$B$4:$B$25,_xlfn.AGGREGATE(15,6,(ROW('04_Оценка'!$N$4:$N$25)-ROW('04_Оценка'!$N$4)+1)/('04_Оценка'!$N$4:$N$25=D23),COUNTIF($D$19:D23,D23))))</f>
        <v>Visual Paradigm</v>
      </c>
      <c r="C23" s="15" t="str">
        <f t="array" ref="C23">IF(D23="","",INDEX('04_Оценка'!$C$4:$C$25,_xlfn.AGGREGATE(15,6,(ROW('04_Оценка'!$N$4:$N$25)-ROW('04_Оценка'!$N$4)+1)/('04_Оценка'!$N$4:$N$25=D23),COUNTIF($D$19:D23,D23))))</f>
        <v>visual-paradigm.com</v>
      </c>
      <c r="D23" s="16">
        <f>IFERROR(LARGE('04_Оценка'!$N$4:$N$25,A23),"")</f>
        <v>3.63</v>
      </c>
      <c r="E23" s="15" t="str">
        <f t="array" ref="E23">IF(D23="","",INDEX('04_Оценка'!$R$4:$R$25,_xlfn.AGGREGATE(15,6,(ROW('04_Оценка'!$N$4:$N$25)-ROW('04_Оценка'!$N$4)+1)/('04_Оценка'!$N$4:$N$25=D23),COUNTIF($D$19:D23,D23))))</f>
        <v>Близкий альтернативный конкурент</v>
      </c>
      <c r="F23" s="15" t="str">
        <f t="array" ref="F23">IF(D23="","",INDEX('04_Оценка'!$T$4:$T$25,_xlfn.AGGREGATE(15,6,(ROW('04_Оценка'!$N$4:$N$25)-ROW('04_Оценка'!$N$4)+1)/('04_Оценка'!$N$4:$N$25=D23),COUNTIF($D$19:D23,D23))))</f>
        <v>Уверенность: средняя. Similarweb Pro: 1 516 000 визитов в месяц (июнь-август 2026). Вордстат, Беларусь: 46 запр. в месяц. Тарифы: Подписка: Modeler 6, Standard 19, Professional 35, Enterprise 89 у.е. в месяц. Широкий набор нотаций и ИИ; графический ввод, ценовой уровень выше NotaCode</v>
      </c>
    </row>
    <row r="24" spans="1:26" s="18" customFormat="1" ht="71.25">
      <c r="A24" s="15">
        <v>6</v>
      </c>
      <c r="B24" s="15" t="str">
        <f t="array" ref="B24">IF(D24="","",INDEX('04_Оценка'!$B$4:$B$25,_xlfn.AGGREGATE(15,6,(ROW('04_Оценка'!$N$4:$N$25)-ROW('04_Оценка'!$N$4)+1)/('04_Оценка'!$N$4:$N$25=D24),COUNTIF($D$19:D24,D24))))</f>
        <v>draw.io (diagrams.net)</v>
      </c>
      <c r="C24" s="15" t="str">
        <f t="array" ref="C24">IF(D24="","",INDEX('04_Оценка'!$C$4:$C$25,_xlfn.AGGREGATE(15,6,(ROW('04_Оценка'!$N$4:$N$25)-ROW('04_Оценка'!$N$4)+1)/('04_Оценка'!$N$4:$N$25=D24),COUNTIF($D$19:D24,D24))))</f>
        <v>app.diagrams.net</v>
      </c>
      <c r="D24" s="16">
        <f>IFERROR(LARGE('04_Оценка'!$N$4:$N$25,A24),"")</f>
        <v>3.24</v>
      </c>
      <c r="E24" s="15" t="str">
        <f t="array" ref="E24">IF(D24="","",INDEX('04_Оценка'!$R$4:$R$25,_xlfn.AGGREGATE(15,6,(ROW('04_Оценка'!$N$4:$N$25)-ROW('04_Оценка'!$N$4)+1)/('04_Оценка'!$N$4:$N$25=D24),COUNTIF($D$19:D24,D24))))</f>
        <v>Косвенный конкурент / заменитель</v>
      </c>
      <c r="F24" s="15" t="str">
        <f t="array" ref="F24">IF(D24="","",INDEX('04_Оценка'!$T$4:$T$25,_xlfn.AGGREGATE(15,6,(ROW('04_Оценка'!$N$4:$N$25)-ROW('04_Оценка'!$N$4)+1)/('04_Оценка'!$N$4:$N$25=D24),COUNTIF($D$19:D24,D24))))</f>
        <v>Уверенность: средняя. Similarweb Pro: 8 497 000 визитов в месяц (июнь-август 2026). Вордстат, Беларусь: 1072 запр. в месяц. Цена: полностью бесплатный, открытый код (Apache 2.0) (ЛР1, табл. 42). Универсальный графический редактор; бесплатный, открытый код, заявлено более 100 млн пользователей</v>
      </c>
    </row>
    <row r="25" spans="1:26" s="18" customFormat="1" ht="71.25">
      <c r="A25" s="15">
        <v>7</v>
      </c>
      <c r="B25" s="15" t="str">
        <f t="array" ref="B25">IF(D25="","",INDEX('04_Оценка'!$B$4:$B$25,_xlfn.AGGREGATE(15,6,(ROW('04_Оценка'!$N$4:$N$25)-ROW('04_Оценка'!$N$4)+1)/('04_Оценка'!$N$4:$N$25=D25),COUNTIF($D$19:D25,D25))))</f>
        <v>Lucidchart</v>
      </c>
      <c r="C25" s="15" t="str">
        <f t="array" ref="C25">IF(D25="","",INDEX('04_Оценка'!$C$4:$C$25,_xlfn.AGGREGATE(15,6,(ROW('04_Оценка'!$N$4:$N$25)-ROW('04_Оценка'!$N$4)+1)/('04_Оценка'!$N$4:$N$25=D25),COUNTIF($D$19:D25,D25))))</f>
        <v>lucidchart.com</v>
      </c>
      <c r="D25" s="16">
        <f>IFERROR(LARGE('04_Оценка'!$N$4:$N$25,A25),"")</f>
        <v>3.13</v>
      </c>
      <c r="E25" s="15" t="str">
        <f t="array" ref="E25">IF(D25="","",INDEX('04_Оценка'!$R$4:$R$25,_xlfn.AGGREGATE(15,6,(ROW('04_Оценка'!$N$4:$N$25)-ROW('04_Оценка'!$N$4)+1)/('04_Оценка'!$N$4:$N$25=D25),COUNTIF($D$19:D25,D25))))</f>
        <v>Косвенный конкурент / заменитель</v>
      </c>
      <c r="F25" s="15" t="str">
        <f t="array" ref="F25">IF(D25="","",INDEX('04_Оценка'!$T$4:$T$25,_xlfn.AGGREGATE(15,6,(ROW('04_Оценка'!$N$4:$N$25)-ROW('04_Оценка'!$N$4)+1)/('04_Оценка'!$N$4:$N$25=D25),COUNTIF($D$19:D25,D25))))</f>
        <v>Уверенность: средняя. Similarweb Pro: 703 574 визитов в месяц (июнь-август 2026). Вордстат, Беларусь: 24 запр. в месяц. Тарифы: Free (3 редактируемых документа, 75 фигур на документ). Главная страница вернула HTTP 403; описание продукта не получено, оценка по ЛР1, ЛР2-3, G2, Capterra</v>
      </c>
    </row>
    <row r="26" spans="1:26" s="18" customFormat="1" ht="71.25">
      <c r="A26" s="15">
        <v>8</v>
      </c>
      <c r="B26" s="15" t="str">
        <f t="array" ref="B26">IF(D26="","",INDEX('04_Оценка'!$B$4:$B$25,_xlfn.AGGREGATE(15,6,(ROW('04_Оценка'!$N$4:$N$25)-ROW('04_Оценка'!$N$4)+1)/('04_Оценка'!$N$4:$N$25=D26),COUNTIF($D$19:D26,D26))))</f>
        <v>Creately</v>
      </c>
      <c r="C26" s="15" t="str">
        <f t="array" ref="C26">IF(D26="","",INDEX('04_Оценка'!$C$4:$C$25,_xlfn.AGGREGATE(15,6,(ROW('04_Оценка'!$N$4:$N$25)-ROW('04_Оценка'!$N$4)+1)/('04_Оценка'!$N$4:$N$25=D26),COUNTIF($D$19:D26,D26))))</f>
        <v>creately.com</v>
      </c>
      <c r="D26" s="16">
        <f>IFERROR(LARGE('04_Оценка'!$N$4:$N$25,A26),"")</f>
        <v>2.99</v>
      </c>
      <c r="E26" s="15" t="str">
        <f t="array" ref="E26">IF(D26="","",INDEX('04_Оценка'!$R$4:$R$25,_xlfn.AGGREGATE(15,6,(ROW('04_Оценка'!$N$4:$N$25)-ROW('04_Оценка'!$N$4)+1)/('04_Оценка'!$N$4:$N$25=D26),COUNTIF($D$19:D26,D26))))</f>
        <v>Косвенный конкурент / заменитель</v>
      </c>
      <c r="F26" s="15" t="str">
        <f t="array" ref="F26">IF(D26="","",INDEX('04_Оценка'!$T$4:$T$25,_xlfn.AGGREGATE(15,6,(ROW('04_Оценка'!$N$4:$N$25)-ROW('04_Оценка'!$N$4)+1)/('04_Оценка'!$N$4:$N$25=D26),COUNTIF($D$19:D26,D26))))</f>
        <v>Уверенность: средняя. Similarweb Pro: 784 067 визитов в месяц (июнь-август 2026). Вордстат, Беларусь: 4 запр. в месяц. Тарифы: Платные тарифы от 5 до 89 у.е. в месяц (ЛР2-3, табл. 70: 15,14 - 269,54 BYN). Универсальный редактор; отзывы на Trustpilot низкие (1,9 из 5 при 58 отзывах)</v>
      </c>
    </row>
    <row r="27" spans="1:26" s="18" customFormat="1" ht="42.75">
      <c r="A27" s="15">
        <v>9</v>
      </c>
      <c r="B27" s="15" t="str">
        <f t="array" ref="B27">IF(D27="","",INDEX('04_Оценка'!$B$4:$B$25,_xlfn.AGGREGATE(15,6,(ROW('04_Оценка'!$N$4:$N$25)-ROW('04_Оценка'!$N$4)+1)/('04_Оценка'!$N$4:$N$25=D27),COUNTIF($D$19:D27,D27))))</f>
        <v>Eraser</v>
      </c>
      <c r="C27" s="15" t="str">
        <f t="array" ref="C27">IF(D27="","",INDEX('04_Оценка'!$C$4:$C$25,_xlfn.AGGREGATE(15,6,(ROW('04_Оценка'!$N$4:$N$25)-ROW('04_Оценка'!$N$4)+1)/('04_Оценка'!$N$4:$N$25=D27),COUNTIF($D$19:D27,D27))))</f>
        <v>eraser.io</v>
      </c>
      <c r="D27" s="16">
        <f>IFERROR(LARGE('04_Оценка'!$N$4:$N$25,A27),"")</f>
        <v>2.96</v>
      </c>
      <c r="E27" s="15" t="str">
        <f t="array" ref="E27">IF(D27="","",INDEX('04_Оценка'!$R$4:$R$25,_xlfn.AGGREGATE(15,6,(ROW('04_Оценка'!$N$4:$N$25)-ROW('04_Оценка'!$N$4)+1)/('04_Оценка'!$N$4:$N$25=D27),COUNTIF($D$19:D27,D27))))</f>
        <v>Косвенный конкурент / заменитель</v>
      </c>
      <c r="F27" s="15" t="str">
        <f t="array" ref="F27">IF(D27="","",INDEX('04_Оценка'!$T$4:$T$25,_xlfn.AGGREGATE(15,6,(ROW('04_Оценка'!$N$4:$N$25)-ROW('04_Оценка'!$N$4)+1)/('04_Оценка'!$N$4:$N$25=D27),COUNTIF($D$19:D27,D27))))</f>
        <v>Уверенность: средняя. Вордстат, Беларусь: 2 запр. в месяц. Тарифы: Free (0 у.е.. ИИ-режим сопоставим с режимами ИИ-ассистента NotaCode; раздел обзора Similarweb данных не показал</v>
      </c>
    </row>
    <row r="28" spans="1:26" s="18" customFormat="1" ht="57">
      <c r="A28" s="15">
        <v>10</v>
      </c>
      <c r="B28" s="15" t="str">
        <f t="array" ref="B28">IF(D28="","",INDEX('04_Оценка'!$B$4:$B$25,_xlfn.AGGREGATE(15,6,(ROW('04_Оценка'!$N$4:$N$25)-ROW('04_Оценка'!$N$4)+1)/('04_Оценка'!$N$4:$N$25=D28),COUNTIF($D$19:D28,D28))))</f>
        <v>dbdiagram.io</v>
      </c>
      <c r="C28" s="15" t="str">
        <f t="array" ref="C28">IF(D28="","",INDEX('04_Оценка'!$C$4:$C$25,_xlfn.AGGREGATE(15,6,(ROW('04_Оценка'!$N$4:$N$25)-ROW('04_Оценка'!$N$4)+1)/('04_Оценка'!$N$4:$N$25=D28),COUNTIF($D$19:D28,D28))))</f>
        <v>dbdiagram.io</v>
      </c>
      <c r="D28" s="16">
        <f>IFERROR(LARGE('04_Оценка'!$N$4:$N$25,A28),"")</f>
        <v>2.9</v>
      </c>
      <c r="E28" s="15" t="str">
        <f t="array" ref="E28">IF(D28="","",INDEX('04_Оценка'!$R$4:$R$25,_xlfn.AGGREGATE(15,6,(ROW('04_Оценка'!$N$4:$N$25)-ROW('04_Оценка'!$N$4)+1)/('04_Оценка'!$N$4:$N$25=D28),COUNTIF($D$19:D28,D28))))</f>
        <v>Косвенный конкурент / заменитель</v>
      </c>
      <c r="F28" s="15" t="str">
        <f t="array" ref="F28">IF(D28="","",INDEX('04_Оценка'!$T$4:$T$25,_xlfn.AGGREGATE(15,6,(ROW('04_Оценка'!$N$4:$N$25)-ROW('04_Оценка'!$N$4)+1)/('04_Оценка'!$N$4:$N$25=D28),COUNTIF($D$19:D28,D28))))</f>
        <v>Уверенность: средняя. Similarweb Pro: 655 207 визитов в месяц (июнь-август 2026). Вордстат, Беларусь: 2 запр. в месяц. Цена: описание: free tool; платный тариф около 8 у.е. (ЛР2-3). Одна нотация (ERD) с вводом текстом; ERD входит в первую волну нотаций NotaCode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3"/>
  <sheetViews>
    <sheetView topLeftCell="L1" zoomScale="70" zoomScaleNormal="70" workbookViewId="0">
      <selection activeCell="V36" sqref="V36"/>
    </sheetView>
  </sheetViews>
  <sheetFormatPr defaultRowHeight="14.25"/>
  <cols>
    <col min="1" max="1" width="8" customWidth="1"/>
    <col min="2" max="2" width="28" customWidth="1"/>
    <col min="3" max="4" width="22" customWidth="1"/>
    <col min="5" max="5" width="14" customWidth="1"/>
    <col min="6" max="6" width="34" customWidth="1"/>
    <col min="7" max="7" width="30" customWidth="1"/>
    <col min="8" max="9" width="34" customWidth="1"/>
    <col min="10" max="10" width="14" customWidth="1"/>
    <col min="11" max="11" width="18" customWidth="1"/>
  </cols>
  <sheetData>
    <row r="1" spans="1:26" ht="16.149999999999999" customHeight="1">
      <c r="A1" s="20" t="s">
        <v>212</v>
      </c>
      <c r="B1" s="21" t="s">
        <v>212</v>
      </c>
      <c r="C1" s="21" t="s">
        <v>212</v>
      </c>
      <c r="D1" s="21" t="s">
        <v>212</v>
      </c>
      <c r="E1" s="21" t="s">
        <v>212</v>
      </c>
      <c r="F1" s="21" t="s">
        <v>212</v>
      </c>
      <c r="G1" s="21" t="s">
        <v>212</v>
      </c>
      <c r="H1" s="21" t="s">
        <v>212</v>
      </c>
      <c r="I1" s="21" t="s">
        <v>212</v>
      </c>
      <c r="J1" s="21" t="s">
        <v>212</v>
      </c>
      <c r="K1" s="21" t="s">
        <v>212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0">
      <c r="A3" s="7" t="s">
        <v>32</v>
      </c>
      <c r="B3" s="7" t="s">
        <v>33</v>
      </c>
      <c r="C3" s="7" t="s">
        <v>213</v>
      </c>
      <c r="D3" s="7" t="s">
        <v>214</v>
      </c>
      <c r="E3" s="7" t="s">
        <v>163</v>
      </c>
      <c r="F3" s="7" t="s">
        <v>21</v>
      </c>
      <c r="G3" s="7" t="s">
        <v>215</v>
      </c>
      <c r="H3" s="7" t="s">
        <v>44</v>
      </c>
      <c r="I3" s="7" t="s">
        <v>216</v>
      </c>
      <c r="J3" s="7" t="s">
        <v>40</v>
      </c>
      <c r="K3" s="7" t="s">
        <v>42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8.5">
      <c r="A4" s="2" t="s">
        <v>45</v>
      </c>
      <c r="B4" s="2" t="str">
        <f>IFERROR(IF(INDEX('04_Оценка'!$B$4:$B$25,MATCH(A4,'04_Оценка'!$A$4:$A$25,0))="","",INDEX('04_Оценка'!$B$4:$B$25,MATCH(A4,'04_Оценка'!$A$4:$A$25,0))),"")</f>
        <v>PlantUML</v>
      </c>
      <c r="C4" s="3">
        <f>IFERROR(AVERAGE('04_Оценка'!D4,'04_Оценка'!F4),"")</f>
        <v>4.5</v>
      </c>
      <c r="D4" s="3">
        <f>IFERROR(AVERAGE('04_Оценка'!E4,'04_Оценка'!J4),"")</f>
        <v>4</v>
      </c>
      <c r="E4" s="3">
        <f>IFERROR('04_Оценка'!N4,"")</f>
        <v>4.0999999999999996</v>
      </c>
      <c r="F4" s="2" t="str">
        <f>IFERROR('04_Оценка'!R4,"")</f>
        <v>Прямой конкурент</v>
      </c>
      <c r="G4" s="2" t="str">
        <f t="shared" ref="G4:G25" si="0">IF(E4="","",IF(OR(F4="Недостаточно данных",C4="",D4=""),"Нет данных",IF(AND(C4&gt;=4,D4&gt;=4),"Ядро прямой конкуренции",IF(AND(C4&gt;=3,D4&gt;=3),"Близкая альтернатива",IF(C4&gt;=3,"Функциональный заменитель",IF(D4&gt;=3,"Аудиторное пересечение","Периферия"))))))</f>
        <v>Ядро прямой конкуренции</v>
      </c>
      <c r="H4" s="2" t="s">
        <v>651</v>
      </c>
      <c r="I4" s="2" t="s">
        <v>652</v>
      </c>
      <c r="J4" s="2" t="str">
        <f>IFERROR(IF(INDEX('01_Компании'!$I$4:$I$25,MATCH(A4,'01_Компании'!$A$4:$A$25,0))="","",INDEX('01_Компании'!$I$4:$I$25,MATCH(A4,'01_Компании'!$A$4:$A$25,0))),"")</f>
        <v>Высокий</v>
      </c>
      <c r="K4" s="2" t="str">
        <f>IFERROR(IF(INDEX('04_Оценка'!$S$4:$S$25,MATCH(A4,'04_Оценка'!$A$4:$A$25,0))="","",INDEX('04_Оценка'!$S$4:$S$25,MATCH(A4,'04_Оценка'!$A$4:$A$25,0))),"")</f>
        <v>В работе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.5">
      <c r="A5" s="2" t="s">
        <v>46</v>
      </c>
      <c r="B5" s="2" t="str">
        <f>IFERROR(IF(INDEX('04_Оценка'!$B$4:$B$25,MATCH(A5,'04_Оценка'!$A$4:$A$25,0))="","",INDEX('04_Оценка'!$B$4:$B$25,MATCH(A5,'04_Оценка'!$A$4:$A$25,0))),"")</f>
        <v>Mermaid (библиотека)</v>
      </c>
      <c r="C5" s="3">
        <f>IFERROR(AVERAGE('04_Оценка'!D5,'04_Оценка'!F5),"")</f>
        <v>4.5</v>
      </c>
      <c r="D5" s="3">
        <f>IFERROR(AVERAGE('04_Оценка'!E5,'04_Оценка'!J5),"")</f>
        <v>3.5</v>
      </c>
      <c r="E5" s="3">
        <f>IFERROR('04_Оценка'!N5,"")</f>
        <v>4.07</v>
      </c>
      <c r="F5" s="2" t="str">
        <f>IFERROR('04_Оценка'!R5,"")</f>
        <v>Близкий альтернативный конкурент</v>
      </c>
      <c r="G5" s="2" t="str">
        <f t="shared" si="0"/>
        <v>Близкая альтернатива</v>
      </c>
      <c r="H5" s="2" t="s">
        <v>651</v>
      </c>
      <c r="I5" s="2" t="s">
        <v>652</v>
      </c>
      <c r="J5" s="2" t="str">
        <f>IFERROR(IF(INDEX('01_Компании'!$I$4:$I$25,MATCH(A5,'01_Компании'!$A$4:$A$25,0))="","",INDEX('01_Компании'!$I$4:$I$25,MATCH(A5,'01_Компании'!$A$4:$A$25,0))),"")</f>
        <v>Высокий</v>
      </c>
      <c r="K5" s="2" t="str">
        <f>IFERROR(IF(INDEX('04_Оценка'!$S$4:$S$25,MATCH(A5,'04_Оценка'!$A$4:$A$25,0))="","",INDEX('04_Оценка'!$S$4:$S$25,MATCH(A5,'04_Оценка'!$A$4:$A$25,0))),"")</f>
        <v>В работе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8.5">
      <c r="A6" s="2" t="s">
        <v>47</v>
      </c>
      <c r="B6" s="2" t="str">
        <f>IFERROR(IF(INDEX('04_Оценка'!$B$4:$B$25,MATCH(A6,'04_Оценка'!$A$4:$A$25,0))="","",INDEX('04_Оценка'!$B$4:$B$25,MATCH(A6,'04_Оценка'!$A$4:$A$25,0))),"")</f>
        <v>Mermaid Chart</v>
      </c>
      <c r="C6" s="3">
        <f>IFERROR(AVERAGE('04_Оценка'!D6,'04_Оценка'!F6),"")</f>
        <v>4.5</v>
      </c>
      <c r="D6" s="3">
        <f>IFERROR(AVERAGE('04_Оценка'!E6,'04_Оценка'!J6),"")</f>
        <v>2.5</v>
      </c>
      <c r="E6" s="3">
        <f>IFERROR('04_Оценка'!N6,"")</f>
        <v>3.71</v>
      </c>
      <c r="F6" s="2" t="str">
        <f>IFERROR('04_Оценка'!R6,"")</f>
        <v>Близкий альтернативный конкурент</v>
      </c>
      <c r="G6" s="2" t="str">
        <f t="shared" si="0"/>
        <v>Функциональный заменитель</v>
      </c>
      <c r="H6" s="2" t="s">
        <v>651</v>
      </c>
      <c r="I6" s="2" t="s">
        <v>655</v>
      </c>
      <c r="J6" s="2" t="str">
        <f>IFERROR(IF(INDEX('01_Компании'!$I$4:$I$25,MATCH(A6,'01_Компании'!$A$4:$A$25,0))="","",INDEX('01_Компании'!$I$4:$I$25,MATCH(A6,'01_Компании'!$A$4:$A$25,0))),"")</f>
        <v>Высокий</v>
      </c>
      <c r="K6" s="2" t="str">
        <f>IFERROR(IF(INDEX('04_Оценка'!$S$4:$S$25,MATCH(A6,'04_Оценка'!$A$4:$A$25,0))="","",INDEX('04_Оценка'!$S$4:$S$25,MATCH(A6,'04_Оценка'!$A$4:$A$25,0))),"")</f>
        <v>В работе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8.5">
      <c r="A7" s="2" t="s">
        <v>48</v>
      </c>
      <c r="B7" s="2" t="str">
        <f>IFERROR(IF(INDEX('04_Оценка'!$B$4:$B$25,MATCH(A7,'04_Оценка'!$A$4:$A$25,0))="","",INDEX('04_Оценка'!$B$4:$B$25,MATCH(A7,'04_Оценка'!$A$4:$A$25,0))),"")</f>
        <v>D2 (Terrastruct)</v>
      </c>
      <c r="C7" s="3">
        <f>IFERROR(AVERAGE('04_Оценка'!D7,'04_Оценка'!F7),"")</f>
        <v>3.5</v>
      </c>
      <c r="D7" s="3">
        <f>IFERROR(AVERAGE('04_Оценка'!E7,'04_Оценка'!J7),"")</f>
        <v>2.5</v>
      </c>
      <c r="E7" s="3">
        <f>IFERROR('04_Оценка'!N7,"")</f>
        <v>2.82</v>
      </c>
      <c r="F7" s="2" t="str">
        <f>IFERROR('04_Оценка'!R7,"")</f>
        <v>Косвенный конкурент / заменитель</v>
      </c>
      <c r="G7" s="2" t="str">
        <f t="shared" si="0"/>
        <v>Функциональный заменитель</v>
      </c>
      <c r="H7" s="2" t="s">
        <v>657</v>
      </c>
      <c r="I7" s="2" t="s">
        <v>658</v>
      </c>
      <c r="J7" s="2" t="str">
        <f>IFERROR(IF(INDEX('01_Компании'!$I$4:$I$25,MATCH(A7,'01_Компании'!$A$4:$A$25,0))="","",INDEX('01_Компании'!$I$4:$I$25,MATCH(A7,'01_Компании'!$A$4:$A$25,0))),"")</f>
        <v>Средний</v>
      </c>
      <c r="K7" s="2" t="str">
        <f>IFERROR(IF(INDEX('04_Оценка'!$S$4:$S$25,MATCH(A7,'04_Оценка'!$A$4:$A$25,0))="","",INDEX('04_Оценка'!$S$4:$S$25,MATCH(A7,'04_Оценка'!$A$4:$A$25,0))),"")</f>
        <v>В работе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5">
      <c r="A8" s="2" t="s">
        <v>49</v>
      </c>
      <c r="B8" s="2" t="str">
        <f>IFERROR(IF(INDEX('04_Оценка'!$B$4:$B$25,MATCH(A8,'04_Оценка'!$A$4:$A$25,0))="","",INDEX('04_Оценка'!$B$4:$B$25,MATCH(A8,'04_Оценка'!$A$4:$A$25,0))),"")</f>
        <v>Kroki</v>
      </c>
      <c r="C8" s="3">
        <f>IFERROR(AVERAGE('04_Оценка'!D8,'04_Оценка'!F8),"")</f>
        <v>2.5</v>
      </c>
      <c r="D8" s="3">
        <f>IFERROR(AVERAGE('04_Оценка'!E8,'04_Оценка'!J8),"")</f>
        <v>2.5</v>
      </c>
      <c r="E8" s="3">
        <f>IFERROR('04_Оценка'!N8,"")</f>
        <v>2.0699999999999998</v>
      </c>
      <c r="F8" s="2" t="str">
        <f>IFERROR('04_Оценка'!R8,"")</f>
        <v>Смежная или потенциальная конкуренция</v>
      </c>
      <c r="G8" s="2" t="str">
        <f t="shared" si="0"/>
        <v>Периферия</v>
      </c>
      <c r="H8" s="2" t="s">
        <v>660</v>
      </c>
      <c r="I8" s="2" t="s">
        <v>661</v>
      </c>
      <c r="J8" s="2" t="str">
        <f>IFERROR(IF(INDEX('01_Компании'!$I$4:$I$25,MATCH(A8,'01_Компании'!$A$4:$A$25,0))="","",INDEX('01_Компании'!$I$4:$I$25,MATCH(A8,'01_Компании'!$A$4:$A$25,0))),"")</f>
        <v>Низкий</v>
      </c>
      <c r="K8" s="2" t="str">
        <f>IFERROR(IF(INDEX('04_Оценка'!$S$4:$S$25,MATCH(A8,'04_Оценка'!$A$4:$A$25,0))="","",INDEX('04_Оценка'!$S$4:$S$25,MATCH(A8,'04_Оценка'!$A$4:$A$25,0))),"")</f>
        <v>В работе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5">
      <c r="A9" s="2" t="s">
        <v>50</v>
      </c>
      <c r="B9" s="2" t="str">
        <f>IFERROR(IF(INDEX('04_Оценка'!$B$4:$B$25,MATCH(A9,'04_Оценка'!$A$4:$A$25,0))="","",INDEX('04_Оценка'!$B$4:$B$25,MATCH(A9,'04_Оценка'!$A$4:$A$25,0))),"")</f>
        <v>PlantText</v>
      </c>
      <c r="C9" s="3">
        <f>IFERROR(AVERAGE('04_Оценка'!D9,'04_Оценка'!F9),"")</f>
        <v>4.5</v>
      </c>
      <c r="D9" s="3">
        <f>IFERROR(AVERAGE('04_Оценка'!E9,'04_Оценка'!J9),"")</f>
        <v>3</v>
      </c>
      <c r="E9" s="3">
        <f>IFERROR('04_Оценка'!N9,"")</f>
        <v>3.72</v>
      </c>
      <c r="F9" s="2" t="str">
        <f>IFERROR('04_Оценка'!R9,"")</f>
        <v>Близкий альтернативный конкурент</v>
      </c>
      <c r="G9" s="2" t="str">
        <f t="shared" si="0"/>
        <v>Близкая альтернатива</v>
      </c>
      <c r="H9" s="2" t="s">
        <v>651</v>
      </c>
      <c r="I9" s="2" t="s">
        <v>658</v>
      </c>
      <c r="J9" s="2" t="str">
        <f>IFERROR(IF(INDEX('01_Компании'!$I$4:$I$25,MATCH(A9,'01_Компании'!$A$4:$A$25,0))="","",INDEX('01_Компании'!$I$4:$I$25,MATCH(A9,'01_Компании'!$A$4:$A$25,0))),"")</f>
        <v>Средний</v>
      </c>
      <c r="K9" s="2" t="str">
        <f>IFERROR(IF(INDEX('04_Оценка'!$S$4:$S$25,MATCH(A9,'04_Оценка'!$A$4:$A$25,0))="","",INDEX('04_Оценка'!$S$4:$S$25,MATCH(A9,'04_Оценка'!$A$4:$A$25,0))),"")</f>
        <v>В работе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8.5">
      <c r="A10" s="2" t="s">
        <v>51</v>
      </c>
      <c r="B10" s="2" t="str">
        <f>IFERROR(IF(INDEX('04_Оценка'!$B$4:$B$25,MATCH(A10,'04_Оценка'!$A$4:$A$25,0))="","",INDEX('04_Оценка'!$B$4:$B$25,MATCH(A10,'04_Оценка'!$A$4:$A$25,0))),"")</f>
        <v>StarUML</v>
      </c>
      <c r="C10" s="3">
        <f>IFERROR(AVERAGE('04_Оценка'!D10,'04_Оценка'!F10),"")</f>
        <v>3.5</v>
      </c>
      <c r="D10" s="3">
        <f>IFERROR(AVERAGE('04_Оценка'!E10,'04_Оценка'!J10),"")</f>
        <v>3.5</v>
      </c>
      <c r="E10" s="3">
        <f>IFERROR('04_Оценка'!N10,"")</f>
        <v>2.81</v>
      </c>
      <c r="F10" s="2" t="str">
        <f>IFERROR('04_Оценка'!R10,"")</f>
        <v>Косвенный конкурент / заменитель</v>
      </c>
      <c r="G10" s="2" t="str">
        <f t="shared" si="0"/>
        <v>Близкая альтернатива</v>
      </c>
      <c r="H10" s="2" t="s">
        <v>660</v>
      </c>
      <c r="I10" s="2" t="s">
        <v>664</v>
      </c>
      <c r="J10" s="2" t="str">
        <f>IFERROR(IF(INDEX('01_Компании'!$I$4:$I$25,MATCH(A10,'01_Компании'!$A$4:$A$25,0))="","",INDEX('01_Компании'!$I$4:$I$25,MATCH(A10,'01_Компании'!$A$4:$A$25,0))),"")</f>
        <v>Средний</v>
      </c>
      <c r="K10" s="2" t="str">
        <f>IFERROR(IF(INDEX('04_Оценка'!$S$4:$S$25,MATCH(A10,'04_Оценка'!$A$4:$A$25,0))="","",INDEX('04_Оценка'!$S$4:$S$25,MATCH(A10,'04_Оценка'!$A$4:$A$25,0))),"")</f>
        <v>В работе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8.5">
      <c r="A11" s="2" t="s">
        <v>52</v>
      </c>
      <c r="B11" s="2" t="str">
        <f>IFERROR(IF(INDEX('04_Оценка'!$B$4:$B$25,MATCH(A11,'04_Оценка'!$A$4:$A$25,0))="","",INDEX('04_Оценка'!$B$4:$B$25,MATCH(A11,'04_Оценка'!$A$4:$A$25,0))),"")</f>
        <v>Visual Paradigm</v>
      </c>
      <c r="C11" s="3">
        <f>IFERROR(AVERAGE('04_Оценка'!D11,'04_Оценка'!F11),"")</f>
        <v>4</v>
      </c>
      <c r="D11" s="3">
        <f>IFERROR(AVERAGE('04_Оценка'!E11,'04_Оценка'!J11),"")</f>
        <v>4</v>
      </c>
      <c r="E11" s="3">
        <f>IFERROR('04_Оценка'!N11,"")</f>
        <v>3.63</v>
      </c>
      <c r="F11" s="2" t="str">
        <f>IFERROR('04_Оценка'!R11,"")</f>
        <v>Близкий альтернативный конкурент</v>
      </c>
      <c r="G11" s="2" t="str">
        <f t="shared" si="0"/>
        <v>Ядро прямой конкуренции</v>
      </c>
      <c r="H11" s="2" t="s">
        <v>666</v>
      </c>
      <c r="I11" s="2" t="s">
        <v>658</v>
      </c>
      <c r="J11" s="2" t="str">
        <f>IFERROR(IF(INDEX('01_Компании'!$I$4:$I$25,MATCH(A11,'01_Компании'!$A$4:$A$25,0))="","",INDEX('01_Компании'!$I$4:$I$25,MATCH(A11,'01_Компании'!$A$4:$A$25,0))),"")</f>
        <v>Высокий</v>
      </c>
      <c r="K11" s="2" t="str">
        <f>IFERROR(IF(INDEX('04_Оценка'!$S$4:$S$25,MATCH(A11,'04_Оценка'!$A$4:$A$25,0))="","",INDEX('04_Оценка'!$S$4:$S$25,MATCH(A11,'04_Оценка'!$A$4:$A$25,0))),"")</f>
        <v>В работе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8.5">
      <c r="A12" s="2" t="s">
        <v>53</v>
      </c>
      <c r="B12" s="2" t="str">
        <f>IFERROR(IF(INDEX('04_Оценка'!$B$4:$B$25,MATCH(A12,'04_Оценка'!$A$4:$A$25,0))="","",INDEX('04_Оценка'!$B$4:$B$25,MATCH(A12,'04_Оценка'!$A$4:$A$25,0))),"")</f>
        <v>Sparx Systems (Enterprise Architect)</v>
      </c>
      <c r="C12" s="3">
        <f>IFERROR(AVERAGE('04_Оценка'!D12,'04_Оценка'!F12),"")</f>
        <v>3.5</v>
      </c>
      <c r="D12" s="3">
        <f>IFERROR(AVERAGE('04_Оценка'!E12,'04_Оценка'!J12),"")</f>
        <v>4</v>
      </c>
      <c r="E12" s="3">
        <f>IFERROR('04_Оценка'!N12,"")</f>
        <v>1.9</v>
      </c>
      <c r="F12" s="2" t="str">
        <f>IFERROR('04_Оценка'!R12,"")</f>
        <v>Недостаточно данных</v>
      </c>
      <c r="G12" s="2" t="str">
        <f t="shared" si="0"/>
        <v>Нет данных</v>
      </c>
      <c r="H12" s="2" t="s">
        <v>668</v>
      </c>
      <c r="I12" s="2" t="s">
        <v>664</v>
      </c>
      <c r="J12" s="2" t="str">
        <f>IFERROR(IF(INDEX('01_Компании'!$I$4:$I$25,MATCH(A12,'01_Компании'!$A$4:$A$25,0))="","",INDEX('01_Компании'!$I$4:$I$25,MATCH(A12,'01_Компании'!$A$4:$A$25,0))),"")</f>
        <v>Низкий</v>
      </c>
      <c r="K12" s="2" t="str">
        <f>IFERROR(IF(INDEX('04_Оценка'!$S$4:$S$25,MATCH(A12,'04_Оценка'!$A$4:$A$25,0))="","",INDEX('04_Оценка'!$S$4:$S$25,MATCH(A12,'04_Оценка'!$A$4:$A$25,0))),"")</f>
        <v>Требует уточнения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8.5">
      <c r="A13" s="2" t="s">
        <v>54</v>
      </c>
      <c r="B13" s="2" t="str">
        <f>IFERROR(IF(INDEX('04_Оценка'!$B$4:$B$25,MATCH(A13,'04_Оценка'!$A$4:$A$25,0))="","",INDEX('04_Оценка'!$B$4:$B$25,MATCH(A13,'04_Оценка'!$A$4:$A$25,0))),"")</f>
        <v>bpmn.io</v>
      </c>
      <c r="C13" s="3">
        <f>IFERROR(AVERAGE('04_Оценка'!D13,'04_Оценка'!F13),"")</f>
        <v>2.5</v>
      </c>
      <c r="D13" s="3">
        <f>IFERROR(AVERAGE('04_Оценка'!E13,'04_Оценка'!J13),"")</f>
        <v>3.5</v>
      </c>
      <c r="E13" s="3">
        <f>IFERROR('04_Оценка'!N13,"")</f>
        <v>2.44</v>
      </c>
      <c r="F13" s="2" t="str">
        <f>IFERROR('04_Оценка'!R13,"")</f>
        <v>Смежная или потенциальная конкуренция</v>
      </c>
      <c r="G13" s="2" t="str">
        <f t="shared" si="0"/>
        <v>Аудиторное пересечение</v>
      </c>
      <c r="H13" s="2" t="s">
        <v>657</v>
      </c>
      <c r="I13" s="2" t="s">
        <v>658</v>
      </c>
      <c r="J13" s="2" t="str">
        <f>IFERROR(IF(INDEX('01_Компании'!$I$4:$I$25,MATCH(A13,'01_Компании'!$A$4:$A$25,0))="","",INDEX('01_Компании'!$I$4:$I$25,MATCH(A13,'01_Компании'!$A$4:$A$25,0))),"")</f>
        <v>Средний</v>
      </c>
      <c r="K13" s="2" t="str">
        <f>IFERROR(IF(INDEX('04_Оценка'!$S$4:$S$25,MATCH(A13,'04_Оценка'!$A$4:$A$25,0))="","",INDEX('04_Оценка'!$S$4:$S$25,MATCH(A13,'04_Оценка'!$A$4:$A$25,0))),"")</f>
        <v>В работе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8.5">
      <c r="A14" s="2" t="s">
        <v>55</v>
      </c>
      <c r="B14" s="2" t="str">
        <f>IFERROR(IF(INDEX('04_Оценка'!$B$4:$B$25,MATCH(A14,'04_Оценка'!$A$4:$A$25,0))="","",INDEX('04_Оценка'!$B$4:$B$25,MATCH(A14,'04_Оценка'!$A$4:$A$25,0))),"")</f>
        <v>Camunda (Modeler)</v>
      </c>
      <c r="C14" s="3">
        <f>IFERROR(AVERAGE('04_Оценка'!D14,'04_Оценка'!F14),"")</f>
        <v>2</v>
      </c>
      <c r="D14" s="3">
        <f>IFERROR(AVERAGE('04_Оценка'!E14,'04_Оценка'!J14),"")</f>
        <v>2.5</v>
      </c>
      <c r="E14" s="3">
        <f>IFERROR('04_Оценка'!N14,"")</f>
        <v>1.92</v>
      </c>
      <c r="F14" s="2" t="str">
        <f>IFERROR('04_Оценка'!R14,"")</f>
        <v>Смежная или потенциальная конкуренция</v>
      </c>
      <c r="G14" s="2" t="str">
        <f t="shared" si="0"/>
        <v>Периферия</v>
      </c>
      <c r="H14" s="2" t="s">
        <v>657</v>
      </c>
      <c r="I14" s="2" t="s">
        <v>664</v>
      </c>
      <c r="J14" s="2" t="str">
        <f>IFERROR(IF(INDEX('01_Компании'!$I$4:$I$25,MATCH(A14,'01_Компании'!$A$4:$A$25,0))="","",INDEX('01_Компании'!$I$4:$I$25,MATCH(A14,'01_Компании'!$A$4:$A$25,0))),"")</f>
        <v>Низкий</v>
      </c>
      <c r="K14" s="2" t="str">
        <f>IFERROR(IF(INDEX('04_Оценка'!$S$4:$S$25,MATCH(A14,'04_Оценка'!$A$4:$A$25,0))="","",INDEX('04_Оценка'!$S$4:$S$25,MATCH(A14,'04_Оценка'!$A$4:$A$25,0))),"")</f>
        <v>В работе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8.5">
      <c r="A15" s="2" t="s">
        <v>56</v>
      </c>
      <c r="B15" s="2" t="str">
        <f>IFERROR(IF(INDEX('04_Оценка'!$B$4:$B$25,MATCH(A15,'04_Оценка'!$A$4:$A$25,0))="","",INDEX('04_Оценка'!$B$4:$B$25,MATCH(A15,'04_Оценка'!$A$4:$A$25,0))),"")</f>
        <v>Storm (StormBPMN)</v>
      </c>
      <c r="C15" s="3">
        <f>IFERROR(AVERAGE('04_Оценка'!D15,'04_Оценка'!F15),"")</f>
        <v>2.5</v>
      </c>
      <c r="D15" s="3">
        <f>IFERROR(AVERAGE('04_Оценка'!E15,'04_Оценка'!J15),"")</f>
        <v>4</v>
      </c>
      <c r="E15" s="3">
        <f>IFERROR('04_Оценка'!N15,"")</f>
        <v>2.2599999999999998</v>
      </c>
      <c r="F15" s="2" t="str">
        <f>IFERROR('04_Оценка'!R15,"")</f>
        <v>Смежная или потенциальная конкуренция</v>
      </c>
      <c r="G15" s="2" t="str">
        <f t="shared" si="0"/>
        <v>Аудиторное пересечение</v>
      </c>
      <c r="H15" s="2" t="s">
        <v>660</v>
      </c>
      <c r="I15" s="2" t="s">
        <v>664</v>
      </c>
      <c r="J15" s="2" t="str">
        <f>IFERROR(IF(INDEX('01_Компании'!$I$4:$I$25,MATCH(A15,'01_Компании'!$A$4:$A$25,0))="","",INDEX('01_Компании'!$I$4:$I$25,MATCH(A15,'01_Компании'!$A$4:$A$25,0))),"")</f>
        <v>Средний</v>
      </c>
      <c r="K15" s="2" t="str">
        <f>IFERROR(IF(INDEX('04_Оценка'!$S$4:$S$25,MATCH(A15,'04_Оценка'!$A$4:$A$25,0))="","",INDEX('04_Оценка'!$S$4:$S$25,MATCH(A15,'04_Оценка'!$A$4:$A$25,0))),"")</f>
        <v>В работе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8.5">
      <c r="A16" s="2" t="s">
        <v>57</v>
      </c>
      <c r="B16" s="2" t="str">
        <f>IFERROR(IF(INDEX('04_Оценка'!$B$4:$B$25,MATCH(A16,'04_Оценка'!$A$4:$A$25,0))="","",INDEX('04_Оценка'!$B$4:$B$25,MATCH(A16,'04_Оценка'!$A$4:$A$25,0))),"")</f>
        <v>draw.io (diagrams.net)</v>
      </c>
      <c r="C16" s="3">
        <f>IFERROR(AVERAGE('04_Оценка'!D16,'04_Оценка'!F16),"")</f>
        <v>3</v>
      </c>
      <c r="D16" s="3">
        <f>IFERROR(AVERAGE('04_Оценка'!E16,'04_Оценка'!J16),"")</f>
        <v>4</v>
      </c>
      <c r="E16" s="3">
        <f>IFERROR('04_Оценка'!N16,"")</f>
        <v>3.24</v>
      </c>
      <c r="F16" s="2" t="str">
        <f>IFERROR('04_Оценка'!R16,"")</f>
        <v>Косвенный конкурент / заменитель</v>
      </c>
      <c r="G16" s="2" t="str">
        <f t="shared" si="0"/>
        <v>Близкая альтернатива</v>
      </c>
      <c r="H16" s="2" t="s">
        <v>651</v>
      </c>
      <c r="I16" s="2" t="s">
        <v>673</v>
      </c>
      <c r="J16" s="2" t="str">
        <f>IFERROR(IF(INDEX('01_Компании'!$I$4:$I$25,MATCH(A16,'01_Компании'!$A$4:$A$25,0))="","",INDEX('01_Компании'!$I$4:$I$25,MATCH(A16,'01_Компании'!$A$4:$A$25,0))),"")</f>
        <v>Высокий</v>
      </c>
      <c r="K16" s="2" t="str">
        <f>IFERROR(IF(INDEX('04_Оценка'!$S$4:$S$25,MATCH(A16,'04_Оценка'!$A$4:$A$25,0))="","",INDEX('04_Оценка'!$S$4:$S$25,MATCH(A16,'04_Оценка'!$A$4:$A$25,0))),"")</f>
        <v>В работе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8.5">
      <c r="A17" s="2" t="s">
        <v>58</v>
      </c>
      <c r="B17" s="2" t="str">
        <f>IFERROR(IF(INDEX('04_Оценка'!$B$4:$B$25,MATCH(A17,'04_Оценка'!$A$4:$A$25,0))="","",INDEX('04_Оценка'!$B$4:$B$25,MATCH(A17,'04_Оценка'!$A$4:$A$25,0))),"")</f>
        <v>Lucidchart</v>
      </c>
      <c r="C17" s="3">
        <f>IFERROR(AVERAGE('04_Оценка'!D17,'04_Оценка'!F17),"")</f>
        <v>3</v>
      </c>
      <c r="D17" s="3">
        <f>IFERROR(AVERAGE('04_Оценка'!E17,'04_Оценка'!J17),"")</f>
        <v>3</v>
      </c>
      <c r="E17" s="3">
        <f>IFERROR('04_Оценка'!N17,"")</f>
        <v>3.13</v>
      </c>
      <c r="F17" s="2" t="str">
        <f>IFERROR('04_Оценка'!R17,"")</f>
        <v>Косвенный конкурент / заменитель</v>
      </c>
      <c r="G17" s="2" t="str">
        <f t="shared" si="0"/>
        <v>Близкая альтернатива</v>
      </c>
      <c r="H17" s="2" t="s">
        <v>666</v>
      </c>
      <c r="I17" s="2" t="s">
        <v>658</v>
      </c>
      <c r="J17" s="2" t="str">
        <f>IFERROR(IF(INDEX('01_Компании'!$I$4:$I$25,MATCH(A17,'01_Компании'!$A$4:$A$25,0))="","",INDEX('01_Компании'!$I$4:$I$25,MATCH(A17,'01_Компании'!$A$4:$A$25,0))),"")</f>
        <v>Средний</v>
      </c>
      <c r="K17" s="2" t="str">
        <f>IFERROR(IF(INDEX('04_Оценка'!$S$4:$S$25,MATCH(A17,'04_Оценка'!$A$4:$A$25,0))="","",INDEX('04_Оценка'!$S$4:$S$25,MATCH(A17,'04_Оценка'!$A$4:$A$25,0))),"")</f>
        <v>В работе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8.5">
      <c r="A18" s="2" t="s">
        <v>59</v>
      </c>
      <c r="B18" s="2" t="str">
        <f>IFERROR(IF(INDEX('04_Оценка'!$B$4:$B$25,MATCH(A18,'04_Оценка'!$A$4:$A$25,0))="","",INDEX('04_Оценка'!$B$4:$B$25,MATCH(A18,'04_Оценка'!$A$4:$A$25,0))),"")</f>
        <v>Creately</v>
      </c>
      <c r="C18" s="3">
        <f>IFERROR(AVERAGE('04_Оценка'!D18,'04_Оценка'!F18),"")</f>
        <v>3</v>
      </c>
      <c r="D18" s="3">
        <f>IFERROR(AVERAGE('04_Оценка'!E18,'04_Оценка'!J18),"")</f>
        <v>2.5</v>
      </c>
      <c r="E18" s="3">
        <f>IFERROR('04_Оценка'!N18,"")</f>
        <v>2.99</v>
      </c>
      <c r="F18" s="2" t="str">
        <f>IFERROR('04_Оценка'!R18,"")</f>
        <v>Косвенный конкурент / заменитель</v>
      </c>
      <c r="G18" s="2" t="str">
        <f t="shared" si="0"/>
        <v>Функциональный заменитель</v>
      </c>
      <c r="H18" s="2" t="s">
        <v>666</v>
      </c>
      <c r="I18" s="2" t="s">
        <v>658</v>
      </c>
      <c r="J18" s="2" t="str">
        <f>IFERROR(IF(INDEX('01_Компании'!$I$4:$I$25,MATCH(A18,'01_Компании'!$A$4:$A$25,0))="","",INDEX('01_Компании'!$I$4:$I$25,MATCH(A18,'01_Компании'!$A$4:$A$25,0))),"")</f>
        <v>Низкий</v>
      </c>
      <c r="K18" s="2" t="str">
        <f>IFERROR(IF(INDEX('04_Оценка'!$S$4:$S$25,MATCH(A18,'04_Оценка'!$A$4:$A$25,0))="","",INDEX('04_Оценка'!$S$4:$S$25,MATCH(A18,'04_Оценка'!$A$4:$A$25,0))),"")</f>
        <v>В работе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8.5">
      <c r="A19" s="2" t="s">
        <v>60</v>
      </c>
      <c r="B19" s="2" t="str">
        <f>IFERROR(IF(INDEX('04_Оценка'!$B$4:$B$25,MATCH(A19,'04_Оценка'!$A$4:$A$25,0))="","",INDEX('04_Оценка'!$B$4:$B$25,MATCH(A19,'04_Оценка'!$A$4:$A$25,0))),"")</f>
        <v>Miro</v>
      </c>
      <c r="C19" s="3">
        <f>IFERROR(AVERAGE('04_Оценка'!D19,'04_Оценка'!F19),"")</f>
        <v>2</v>
      </c>
      <c r="D19" s="3">
        <f>IFERROR(AVERAGE('04_Оценка'!E19,'04_Оценка'!J19),"")</f>
        <v>3</v>
      </c>
      <c r="E19" s="3">
        <f>IFERROR('04_Оценка'!N19,"")</f>
        <v>2.57</v>
      </c>
      <c r="F19" s="2" t="str">
        <f>IFERROR('04_Оценка'!R19,"")</f>
        <v>Косвенный конкурент / заменитель</v>
      </c>
      <c r="G19" s="2" t="str">
        <f t="shared" si="0"/>
        <v>Аудиторное пересечение</v>
      </c>
      <c r="H19" s="2" t="s">
        <v>666</v>
      </c>
      <c r="I19" s="2" t="s">
        <v>658</v>
      </c>
      <c r="J19" s="2" t="str">
        <f>IFERROR(IF(INDEX('01_Компании'!$I$4:$I$25,MATCH(A19,'01_Компании'!$A$4:$A$25,0))="","",INDEX('01_Компании'!$I$4:$I$25,MATCH(A19,'01_Компании'!$A$4:$A$25,0))),"")</f>
        <v>Низкий</v>
      </c>
      <c r="K19" s="2" t="str">
        <f>IFERROR(IF(INDEX('04_Оценка'!$S$4:$S$25,MATCH(A19,'04_Оценка'!$A$4:$A$25,0))="","",INDEX('04_Оценка'!$S$4:$S$25,MATCH(A19,'04_Оценка'!$A$4:$A$25,0))),"")</f>
        <v>В работе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8.5">
      <c r="A20" s="2" t="s">
        <v>61</v>
      </c>
      <c r="B20" s="2" t="str">
        <f>IFERROR(IF(INDEX('04_Оценка'!$B$4:$B$25,MATCH(A20,'04_Оценка'!$A$4:$A$25,0))="","",INDEX('04_Оценка'!$B$4:$B$25,MATCH(A20,'04_Оценка'!$A$4:$A$25,0))),"")</f>
        <v>Excalidraw</v>
      </c>
      <c r="C20" s="3">
        <f>IFERROR(AVERAGE('04_Оценка'!D20,'04_Оценка'!F20),"")</f>
        <v>2</v>
      </c>
      <c r="D20" s="3">
        <f>IFERROR(AVERAGE('04_Оценка'!E20,'04_Оценка'!J20),"")</f>
        <v>3</v>
      </c>
      <c r="E20" s="3">
        <f>IFERROR('04_Оценка'!N20,"")</f>
        <v>1.98</v>
      </c>
      <c r="F20" s="2" t="str">
        <f>IFERROR('04_Оценка'!R20,"")</f>
        <v>Смежная или потенциальная конкуренция</v>
      </c>
      <c r="G20" s="2" t="str">
        <f t="shared" si="0"/>
        <v>Аудиторное пересечение</v>
      </c>
      <c r="H20" s="2" t="s">
        <v>660</v>
      </c>
      <c r="I20" s="2" t="s">
        <v>661</v>
      </c>
      <c r="J20" s="2" t="str">
        <f>IFERROR(IF(INDEX('01_Компании'!$I$4:$I$25,MATCH(A20,'01_Компании'!$A$4:$A$25,0))="","",INDEX('01_Компании'!$I$4:$I$25,MATCH(A20,'01_Компании'!$A$4:$A$25,0))),"")</f>
        <v>Низкий</v>
      </c>
      <c r="K20" s="2" t="str">
        <f>IFERROR(IF(INDEX('04_Оценка'!$S$4:$S$25,MATCH(A20,'04_Оценка'!$A$4:$A$25,0))="","",INDEX('04_Оценка'!$S$4:$S$25,MATCH(A20,'04_Оценка'!$A$4:$A$25,0))),"")</f>
        <v>В работе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8.5">
      <c r="A21" s="2" t="s">
        <v>62</v>
      </c>
      <c r="B21" s="2" t="str">
        <f>IFERROR(IF(INDEX('04_Оценка'!$B$4:$B$25,MATCH(A21,'04_Оценка'!$A$4:$A$25,0))="","",INDEX('04_Оценка'!$B$4:$B$25,MATCH(A21,'04_Оценка'!$A$4:$A$25,0))),"")</f>
        <v>dbdiagram.io</v>
      </c>
      <c r="C21" s="3">
        <f>IFERROR(AVERAGE('04_Оценка'!D21,'04_Оценка'!F21),"")</f>
        <v>2.5</v>
      </c>
      <c r="D21" s="3">
        <f>IFERROR(AVERAGE('04_Оценка'!E21,'04_Оценка'!J21),"")</f>
        <v>2.5</v>
      </c>
      <c r="E21" s="3">
        <f>IFERROR('04_Оценка'!N21,"")</f>
        <v>2.9</v>
      </c>
      <c r="F21" s="2" t="str">
        <f>IFERROR('04_Оценка'!R21,"")</f>
        <v>Косвенный конкурент / заменитель</v>
      </c>
      <c r="G21" s="2" t="str">
        <f t="shared" si="0"/>
        <v>Периферия</v>
      </c>
      <c r="H21" s="2" t="s">
        <v>666</v>
      </c>
      <c r="I21" s="2" t="s">
        <v>658</v>
      </c>
      <c r="J21" s="2" t="str">
        <f>IFERROR(IF(INDEX('01_Компании'!$I$4:$I$25,MATCH(A21,'01_Компании'!$A$4:$A$25,0))="","",INDEX('01_Компании'!$I$4:$I$25,MATCH(A21,'01_Компании'!$A$4:$A$25,0))),"")</f>
        <v>Средний</v>
      </c>
      <c r="K21" s="2" t="str">
        <f>IFERROR(IF(INDEX('04_Оценка'!$S$4:$S$25,MATCH(A21,'04_Оценка'!$A$4:$A$25,0))="","",INDEX('04_Оценка'!$S$4:$S$25,MATCH(A21,'04_Оценка'!$A$4:$A$25,0))),"")</f>
        <v>В работе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8.5">
      <c r="A22" s="2" t="s">
        <v>63</v>
      </c>
      <c r="B22" s="2" t="str">
        <f>IFERROR(IF(INDEX('04_Оценка'!$B$4:$B$25,MATCH(A22,'04_Оценка'!$A$4:$A$25,0))="","",INDEX('04_Оценка'!$B$4:$B$25,MATCH(A22,'04_Оценка'!$A$4:$A$25,0))),"")</f>
        <v>DrawSQL</v>
      </c>
      <c r="C22" s="3">
        <f>IFERROR(AVERAGE('04_Оценка'!D22,'04_Оценка'!F22),"")</f>
        <v>2.5</v>
      </c>
      <c r="D22" s="3">
        <f>IFERROR(AVERAGE('04_Оценка'!E22,'04_Оценка'!J22),"")</f>
        <v>2.5</v>
      </c>
      <c r="E22" s="3">
        <f>IFERROR('04_Оценка'!N22,"")</f>
        <v>1.93</v>
      </c>
      <c r="F22" s="2" t="str">
        <f>IFERROR('04_Оценка'!R22,"")</f>
        <v>Смежная или потенциальная конкуренция</v>
      </c>
      <c r="G22" s="2" t="str">
        <f t="shared" si="0"/>
        <v>Периферия</v>
      </c>
      <c r="H22" s="2" t="s">
        <v>680</v>
      </c>
      <c r="I22" s="2" t="s">
        <v>681</v>
      </c>
      <c r="J22" s="2" t="str">
        <f>IFERROR(IF(INDEX('01_Компании'!$I$4:$I$25,MATCH(A22,'01_Компании'!$A$4:$A$25,0))="","",INDEX('01_Компании'!$I$4:$I$25,MATCH(A22,'01_Компании'!$A$4:$A$25,0))),"")</f>
        <v>Низкий</v>
      </c>
      <c r="K22" s="2" t="str">
        <f>IFERROR(IF(INDEX('04_Оценка'!$S$4:$S$25,MATCH(A22,'04_Оценка'!$A$4:$A$25,0))="","",INDEX('04_Оценка'!$S$4:$S$25,MATCH(A22,'04_Оценка'!$A$4:$A$25,0))),"")</f>
        <v>В работе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8.5">
      <c r="A23" s="2" t="s">
        <v>64</v>
      </c>
      <c r="B23" s="2" t="str">
        <f>IFERROR(IF(INDEX('04_Оценка'!$B$4:$B$25,MATCH(A23,'04_Оценка'!$A$4:$A$25,0))="","",INDEX('04_Оценка'!$B$4:$B$25,MATCH(A23,'04_Оценка'!$A$4:$A$25,0))),"")</f>
        <v>Eraser</v>
      </c>
      <c r="C23" s="3">
        <f>IFERROR(AVERAGE('04_Оценка'!D23,'04_Оценка'!F23),"")</f>
        <v>3.5</v>
      </c>
      <c r="D23" s="3">
        <f>IFERROR(AVERAGE('04_Оценка'!E23,'04_Оценка'!J23),"")</f>
        <v>2.5</v>
      </c>
      <c r="E23" s="3">
        <f>IFERROR('04_Оценка'!N23,"")</f>
        <v>2.96</v>
      </c>
      <c r="F23" s="2" t="str">
        <f>IFERROR('04_Оценка'!R23,"")</f>
        <v>Косвенный конкурент / заменитель</v>
      </c>
      <c r="G23" s="2" t="str">
        <f t="shared" si="0"/>
        <v>Функциональный заменитель</v>
      </c>
      <c r="H23" s="2" t="s">
        <v>657</v>
      </c>
      <c r="I23" s="2" t="s">
        <v>683</v>
      </c>
      <c r="J23" s="2" t="str">
        <f>IFERROR(IF(INDEX('01_Компании'!$I$4:$I$25,MATCH(A23,'01_Компании'!$A$4:$A$25,0))="","",INDEX('01_Компании'!$I$4:$I$25,MATCH(A23,'01_Компании'!$A$4:$A$25,0))),"")</f>
        <v>Высокий</v>
      </c>
      <c r="K23" s="2" t="str">
        <f>IFERROR(IF(INDEX('04_Оценка'!$S$4:$S$25,MATCH(A23,'04_Оценка'!$A$4:$A$25,0))="","",INDEX('04_Оценка'!$S$4:$S$25,MATCH(A23,'04_Оценка'!$A$4:$A$25,0))),"")</f>
        <v>В работе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8.5">
      <c r="A24" s="2" t="s">
        <v>65</v>
      </c>
      <c r="B24" s="2" t="str">
        <f>IFERROR(IF(INDEX('04_Оценка'!$B$4:$B$25,MATCH(A24,'04_Оценка'!$A$4:$A$25,0))="","",INDEX('04_Оценка'!$B$4:$B$25,MATCH(A24,'04_Оценка'!$A$4:$A$25,0))),"")</f>
        <v>Whimsical</v>
      </c>
      <c r="C24" s="3">
        <f>IFERROR(AVERAGE('04_Оценка'!D24,'04_Оценка'!F24),"")</f>
        <v>2.5</v>
      </c>
      <c r="D24" s="3">
        <f>IFERROR(AVERAGE('04_Оценка'!E24,'04_Оценка'!J24),"")</f>
        <v>3</v>
      </c>
      <c r="E24" s="3">
        <f>IFERROR('04_Оценка'!N24,"")</f>
        <v>2.38</v>
      </c>
      <c r="F24" s="2" t="str">
        <f>IFERROR('04_Оценка'!R24,"")</f>
        <v>Смежная или потенциальная конкуренция</v>
      </c>
      <c r="G24" s="2" t="str">
        <f t="shared" si="0"/>
        <v>Аудиторное пересечение</v>
      </c>
      <c r="H24" s="2" t="s">
        <v>660</v>
      </c>
      <c r="I24" s="2" t="s">
        <v>685</v>
      </c>
      <c r="J24" s="2" t="str">
        <f>IFERROR(IF(INDEX('01_Компании'!$I$4:$I$25,MATCH(A24,'01_Компании'!$A$4:$A$25,0))="","",INDEX('01_Компании'!$I$4:$I$25,MATCH(A24,'01_Компании'!$A$4:$A$25,0))),"")</f>
        <v>Низкий</v>
      </c>
      <c r="K24" s="2" t="str">
        <f>IFERROR(IF(INDEX('04_Оценка'!$S$4:$S$25,MATCH(A24,'04_Оценка'!$A$4:$A$25,0))="","",INDEX('04_Оценка'!$S$4:$S$25,MATCH(A24,'04_Оценка'!$A$4:$A$25,0))),"")</f>
        <v>В работе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8.5">
      <c r="A25" s="2" t="s">
        <v>66</v>
      </c>
      <c r="B25" s="2" t="str">
        <f>IFERROR(IF(INDEX('04_Оценка'!$B$4:$B$25,MATCH(A25,'04_Оценка'!$A$4:$A$25,0))="","",INDEX('04_Оценка'!$B$4:$B$25,MATCH(A25,'04_Оценка'!$A$4:$A$25,0))),"")</f>
        <v>Microsoft Visio</v>
      </c>
      <c r="C25" s="3">
        <f>IFERROR(AVERAGE('04_Оценка'!D25,'04_Оценка'!F25),"")</f>
        <v>2.5</v>
      </c>
      <c r="D25" s="3">
        <f>IFERROR(AVERAGE('04_Оценка'!E25,'04_Оценка'!J25),"")</f>
        <v>3.5</v>
      </c>
      <c r="E25" s="3">
        <f>IFERROR('04_Оценка'!N25,"")</f>
        <v>2.65</v>
      </c>
      <c r="F25" s="2" t="str">
        <f>IFERROR('04_Оценка'!R25,"")</f>
        <v>Косвенный конкурент / заменитель</v>
      </c>
      <c r="G25" s="2" t="str">
        <f t="shared" si="0"/>
        <v>Аудиторное пересечение</v>
      </c>
      <c r="H25" s="2" t="s">
        <v>687</v>
      </c>
      <c r="I25" s="2" t="s">
        <v>688</v>
      </c>
      <c r="J25" s="2" t="str">
        <f>IFERROR(IF(INDEX('01_Компании'!$I$4:$I$25,MATCH(A25,'01_Компании'!$A$4:$A$25,0))="","",INDEX('01_Компании'!$I$4:$I$25,MATCH(A25,'01_Компании'!$A$4:$A$25,0))),"")</f>
        <v>Средний</v>
      </c>
      <c r="K25" s="2" t="str">
        <f>IFERROR(IF(INDEX('04_Оценка'!$S$4:$S$25,MATCH(A25,'04_Оценка'!$A$4:$A$25,0))="","",INDEX('04_Оценка'!$S$4:$S$25,MATCH(A25,'04_Оценка'!$A$4:$A$25,0))),"")</f>
        <v>В работе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2:26"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2:26"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2:26"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2:26"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2:26"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2:26"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2:26"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2:26"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2:26"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2:26"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2:26"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2:26"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2:26"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2:26"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2:26"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2:26"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2:26"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2:26"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2:26"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2:26"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2:26"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2:26"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2:26"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2:26"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2:26"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2:26"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2:26"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2:26"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2:26"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2:26"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2:26"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2:26"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2:26"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2:26"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2:26"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2:26"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2:26"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2:26"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2:26"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2:26"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2:26"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2:26"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2:26"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2:26"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2:26"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2:26"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2:26"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2:26"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2:26"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2:26"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2:26"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2:26"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2:26"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2:26"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2:26"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2:26"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2:26"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2:26"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2:26"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2:26"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2:26"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2:26"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2:26"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2:26"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2:26"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2:26"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2:26"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2:26"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2:26"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2:26"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2:26"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</sheetData>
  <mergeCells count="1">
    <mergeCell ref="A1:K1"/>
  </mergeCells>
  <conditionalFormatting sqref="C4:E25">
    <cfRule type="colorScale" priority="1">
      <colorScale>
        <cfvo type="min"/>
        <cfvo type="percentile" val="50"/>
        <cfvo type="max"/>
        <color rgb="FFFCE4D6"/>
        <color rgb="FFFFF2CC"/>
        <color rgb="FFDDEEDC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1"/>
  <sheetViews>
    <sheetView workbookViewId="0">
      <selection activeCell="E12" sqref="E12:E13"/>
    </sheetView>
  </sheetViews>
  <sheetFormatPr defaultRowHeight="14.25"/>
  <cols>
    <col min="1" max="1" width="39.625" customWidth="1"/>
    <col min="2" max="2" width="20" customWidth="1"/>
    <col min="3" max="3" width="14" customWidth="1"/>
    <col min="4" max="4" width="28" customWidth="1"/>
    <col min="5" max="5" width="36.625" customWidth="1"/>
    <col min="6" max="6" width="13.625" customWidth="1"/>
    <col min="7" max="7" width="36" customWidth="1"/>
    <col min="8" max="8" width="36.625" customWidth="1"/>
    <col min="9" max="26" width="9.625" customWidth="1"/>
  </cols>
  <sheetData>
    <row r="1" spans="1:26">
      <c r="A1" s="24" t="s">
        <v>217</v>
      </c>
      <c r="B1" s="24" t="s">
        <v>218</v>
      </c>
      <c r="C1" s="24" t="s">
        <v>219</v>
      </c>
      <c r="D1" s="24" t="s">
        <v>220</v>
      </c>
      <c r="E1" s="21" t="s">
        <v>221</v>
      </c>
      <c r="F1" s="24" t="s">
        <v>222</v>
      </c>
      <c r="G1" s="24" t="s">
        <v>223</v>
      </c>
      <c r="H1" s="21" t="s">
        <v>221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2" t="s">
        <v>179</v>
      </c>
      <c r="B2" s="2" t="s">
        <v>224</v>
      </c>
      <c r="C2" s="2" t="s">
        <v>225</v>
      </c>
      <c r="D2" s="2" t="s">
        <v>90</v>
      </c>
      <c r="E2" s="2"/>
      <c r="F2" s="2" t="s">
        <v>226</v>
      </c>
      <c r="G2" s="2" t="s">
        <v>227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2" t="s">
        <v>181</v>
      </c>
      <c r="B3" s="2" t="s">
        <v>228</v>
      </c>
      <c r="C3" s="2" t="s">
        <v>229</v>
      </c>
      <c r="D3" s="2" t="s">
        <v>97</v>
      </c>
      <c r="E3" s="2"/>
      <c r="F3" s="2">
        <v>0</v>
      </c>
      <c r="G3" s="2" t="s">
        <v>230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2" t="s">
        <v>183</v>
      </c>
      <c r="B4" s="2" t="s">
        <v>231</v>
      </c>
      <c r="C4" s="2" t="s">
        <v>232</v>
      </c>
      <c r="D4" s="2" t="s">
        <v>233</v>
      </c>
      <c r="E4" s="2"/>
      <c r="F4" s="2">
        <v>1</v>
      </c>
      <c r="G4" s="2" t="s">
        <v>234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2" t="s">
        <v>185</v>
      </c>
      <c r="B5" s="2" t="s">
        <v>235</v>
      </c>
      <c r="C5" s="2"/>
      <c r="D5" s="2" t="s">
        <v>236</v>
      </c>
      <c r="E5" s="2"/>
      <c r="F5" s="2">
        <v>2</v>
      </c>
      <c r="G5" s="2" t="s">
        <v>237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2" t="s">
        <v>187</v>
      </c>
      <c r="B6" s="2" t="s">
        <v>238</v>
      </c>
      <c r="C6" s="2"/>
      <c r="D6" s="2" t="s">
        <v>239</v>
      </c>
      <c r="E6" s="2"/>
      <c r="F6" s="2">
        <v>3</v>
      </c>
      <c r="G6" s="2" t="s">
        <v>240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2" t="s">
        <v>189</v>
      </c>
      <c r="B7" s="2"/>
      <c r="C7" s="2"/>
      <c r="D7" s="2" t="s">
        <v>241</v>
      </c>
      <c r="E7" s="2"/>
      <c r="F7" s="2">
        <v>4</v>
      </c>
      <c r="G7" s="2" t="s">
        <v>242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2"/>
      <c r="B8" s="2"/>
      <c r="C8" s="2"/>
      <c r="D8" s="2" t="s">
        <v>243</v>
      </c>
      <c r="E8" s="2"/>
      <c r="F8" s="2">
        <v>5</v>
      </c>
      <c r="G8" s="2" t="s">
        <v>244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2"/>
      <c r="B9" s="2"/>
      <c r="C9" s="2"/>
      <c r="D9" s="2" t="s">
        <v>245</v>
      </c>
      <c r="E9" s="2"/>
      <c r="F9" s="2"/>
      <c r="G9" s="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2"/>
      <c r="B10" s="2"/>
      <c r="C10" s="2"/>
      <c r="D10" s="2" t="s">
        <v>246</v>
      </c>
      <c r="E10" s="2"/>
      <c r="F10" s="2"/>
      <c r="G10" s="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2"/>
      <c r="B11" s="2"/>
      <c r="C11" s="2"/>
      <c r="D11" s="2" t="s">
        <v>247</v>
      </c>
      <c r="E11" s="2"/>
      <c r="F11" s="2"/>
      <c r="G11" s="2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6A52-DBE2-4DF9-98BE-E8407680FA90}">
  <dimension ref="A1:C29"/>
  <sheetViews>
    <sheetView topLeftCell="A11" workbookViewId="0">
      <selection activeCell="G12" sqref="G12"/>
    </sheetView>
  </sheetViews>
  <sheetFormatPr defaultRowHeight="12.75"/>
  <cols>
    <col min="1" max="1" width="55.625" style="1" customWidth="1"/>
    <col min="2" max="2" width="9.625" style="1" customWidth="1"/>
    <col min="3" max="3" width="84.5" style="1" customWidth="1"/>
    <col min="4" max="16384" width="9" style="1"/>
  </cols>
  <sheetData>
    <row r="1" spans="1:3" ht="31.5">
      <c r="A1" s="12" t="s">
        <v>689</v>
      </c>
      <c r="B1" s="13"/>
      <c r="C1" s="13"/>
    </row>
    <row r="2" spans="1:3">
      <c r="A2" s="13"/>
      <c r="B2" s="13"/>
      <c r="C2" s="13"/>
    </row>
    <row r="3" spans="1:3">
      <c r="A3" s="14" t="s">
        <v>690</v>
      </c>
      <c r="B3" s="14" t="s">
        <v>79</v>
      </c>
      <c r="C3" s="14" t="s">
        <v>26</v>
      </c>
    </row>
    <row r="4" spans="1:3" ht="25.5">
      <c r="A4" s="19" t="s">
        <v>691</v>
      </c>
      <c r="B4" s="19" t="s">
        <v>692</v>
      </c>
      <c r="C4" s="19" t="s">
        <v>863</v>
      </c>
    </row>
    <row r="5" spans="1:3" ht="25.5">
      <c r="A5" s="19" t="s">
        <v>691</v>
      </c>
      <c r="B5" s="19" t="s">
        <v>693</v>
      </c>
      <c r="C5" s="19" t="s">
        <v>864</v>
      </c>
    </row>
    <row r="6" spans="1:3" ht="25.5">
      <c r="A6" s="19" t="s">
        <v>691</v>
      </c>
      <c r="B6" s="19" t="s">
        <v>694</v>
      </c>
      <c r="C6" s="19" t="s">
        <v>865</v>
      </c>
    </row>
    <row r="7" spans="1:3" ht="38.25">
      <c r="A7" s="19" t="s">
        <v>691</v>
      </c>
      <c r="B7" s="19" t="s">
        <v>695</v>
      </c>
      <c r="C7" s="19" t="s">
        <v>866</v>
      </c>
    </row>
    <row r="8" spans="1:3" ht="51">
      <c r="A8" s="19" t="s">
        <v>691</v>
      </c>
      <c r="B8" s="19" t="s">
        <v>696</v>
      </c>
      <c r="C8" s="19" t="s">
        <v>895</v>
      </c>
    </row>
    <row r="9" spans="1:3" ht="38.25">
      <c r="A9" s="19" t="s">
        <v>691</v>
      </c>
      <c r="B9" s="19" t="s">
        <v>697</v>
      </c>
      <c r="C9" s="19" t="s">
        <v>867</v>
      </c>
    </row>
    <row r="10" spans="1:3" ht="51">
      <c r="A10" s="19" t="s">
        <v>691</v>
      </c>
      <c r="B10" s="19" t="s">
        <v>698</v>
      </c>
      <c r="C10" s="19" t="s">
        <v>868</v>
      </c>
    </row>
    <row r="11" spans="1:3" ht="25.5">
      <c r="A11" s="19" t="s">
        <v>691</v>
      </c>
      <c r="B11" s="19" t="s">
        <v>699</v>
      </c>
      <c r="C11" s="19" t="s">
        <v>896</v>
      </c>
    </row>
    <row r="12" spans="1:3" ht="38.25">
      <c r="A12" s="19" t="s">
        <v>700</v>
      </c>
      <c r="B12" s="19" t="s">
        <v>701</v>
      </c>
      <c r="C12" s="19" t="s">
        <v>897</v>
      </c>
    </row>
    <row r="13" spans="1:3" ht="38.25">
      <c r="A13" s="19" t="s">
        <v>700</v>
      </c>
      <c r="B13" s="19" t="s">
        <v>702</v>
      </c>
      <c r="C13" s="19" t="s">
        <v>898</v>
      </c>
    </row>
    <row r="14" spans="1:3" ht="51">
      <c r="A14" s="19" t="s">
        <v>703</v>
      </c>
      <c r="B14" s="19" t="s">
        <v>704</v>
      </c>
      <c r="C14" s="19" t="s">
        <v>869</v>
      </c>
    </row>
    <row r="15" spans="1:3" ht="38.25">
      <c r="A15" s="19" t="s">
        <v>703</v>
      </c>
      <c r="B15" s="19" t="s">
        <v>705</v>
      </c>
      <c r="C15" s="19" t="s">
        <v>870</v>
      </c>
    </row>
    <row r="16" spans="1:3" ht="38.25">
      <c r="A16" s="19" t="s">
        <v>703</v>
      </c>
      <c r="B16" s="19" t="s">
        <v>706</v>
      </c>
      <c r="C16" s="19" t="s">
        <v>899</v>
      </c>
    </row>
    <row r="17" spans="1:3" ht="38.25">
      <c r="A17" s="19" t="s">
        <v>703</v>
      </c>
      <c r="B17" s="19" t="s">
        <v>707</v>
      </c>
      <c r="C17" s="19" t="s">
        <v>871</v>
      </c>
    </row>
    <row r="18" spans="1:3" ht="38.25">
      <c r="A18" s="19" t="s">
        <v>703</v>
      </c>
      <c r="B18" s="19" t="s">
        <v>708</v>
      </c>
      <c r="C18" s="19" t="s">
        <v>900</v>
      </c>
    </row>
    <row r="19" spans="1:3" ht="38.25">
      <c r="A19" s="19" t="s">
        <v>703</v>
      </c>
      <c r="B19" s="19" t="s">
        <v>709</v>
      </c>
      <c r="C19" s="19" t="s">
        <v>901</v>
      </c>
    </row>
    <row r="20" spans="1:3" ht="25.5">
      <c r="A20" s="19" t="s">
        <v>703</v>
      </c>
      <c r="B20" s="19" t="s">
        <v>710</v>
      </c>
      <c r="C20" s="19" t="s">
        <v>872</v>
      </c>
    </row>
    <row r="21" spans="1:3" ht="51">
      <c r="A21" s="19" t="s">
        <v>703</v>
      </c>
      <c r="B21" s="19" t="s">
        <v>711</v>
      </c>
      <c r="C21" s="19" t="s">
        <v>873</v>
      </c>
    </row>
    <row r="22" spans="1:3" ht="38.25">
      <c r="A22" s="19" t="s">
        <v>703</v>
      </c>
      <c r="B22" s="19" t="s">
        <v>712</v>
      </c>
      <c r="C22" s="19" t="s">
        <v>902</v>
      </c>
    </row>
    <row r="23" spans="1:3" ht="25.5">
      <c r="A23" s="19" t="s">
        <v>874</v>
      </c>
      <c r="B23" s="19" t="s">
        <v>713</v>
      </c>
      <c r="C23" s="19" t="s">
        <v>875</v>
      </c>
    </row>
    <row r="24" spans="1:3" ht="25.5">
      <c r="A24" s="19" t="s">
        <v>874</v>
      </c>
      <c r="B24" s="19" t="s">
        <v>714</v>
      </c>
      <c r="C24" s="19" t="s">
        <v>876</v>
      </c>
    </row>
    <row r="25" spans="1:3" ht="25.5">
      <c r="A25" s="19" t="s">
        <v>874</v>
      </c>
      <c r="B25" s="19" t="s">
        <v>715</v>
      </c>
      <c r="C25" s="19" t="s">
        <v>877</v>
      </c>
    </row>
    <row r="26" spans="1:3" ht="25.5">
      <c r="A26" s="19" t="s">
        <v>874</v>
      </c>
      <c r="B26" s="19" t="s">
        <v>716</v>
      </c>
      <c r="C26" s="19" t="s">
        <v>878</v>
      </c>
    </row>
    <row r="27" spans="1:3" ht="25.5">
      <c r="A27" s="19" t="s">
        <v>874</v>
      </c>
      <c r="B27" s="19" t="s">
        <v>717</v>
      </c>
      <c r="C27" s="19" t="s">
        <v>903</v>
      </c>
    </row>
    <row r="28" spans="1:3">
      <c r="A28" s="19" t="s">
        <v>874</v>
      </c>
      <c r="B28" s="19" t="s">
        <v>718</v>
      </c>
      <c r="C28" s="19" t="s">
        <v>879</v>
      </c>
    </row>
    <row r="29" spans="1:3" ht="25.5">
      <c r="A29" s="19" t="s">
        <v>874</v>
      </c>
      <c r="B29" s="19" t="s">
        <v>719</v>
      </c>
      <c r="C29" s="19" t="s">
        <v>880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00_Инструкция</vt:lpstr>
      <vt:lpstr>01_Компании</vt:lpstr>
      <vt:lpstr>02_Доказательства</vt:lpstr>
      <vt:lpstr>03_Критерии</vt:lpstr>
      <vt:lpstr>04_Оценка</vt:lpstr>
      <vt:lpstr>05_Уровни</vt:lpstr>
      <vt:lpstr>06_Сводка</vt:lpstr>
      <vt:lpstr>07_Карта</vt:lpstr>
      <vt:lpstr>08_Справочники</vt:lpstr>
      <vt:lpstr>09_Журнал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Классификация компаний по уровням конкуренции: NotaCode</dc:title>
  <dc:creator>К. А. Хаджинова</dc:creator>
  <dc:description/>
  <cp:lastModifiedBy>Aliaksandr Khajynau</cp:lastModifiedBy>
  <dcterms:created xsi:type="dcterms:W3CDTF">2026-10-04T18:21:55Z</dcterms:created>
  <dcterms:modified xsi:type="dcterms:W3CDTF">2026-10-04T19:30:28Z</dcterms:modified>
</cp:coreProperties>
</file>