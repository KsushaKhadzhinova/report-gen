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CC0424F8-7BDC-4555-8A47-9438B2F107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Инструкция" sheetId="1" r:id="rId1"/>
    <sheet name="Банк_анализа" sheetId="2" r:id="rId2"/>
    <sheet name="Реестр_единиц" sheetId="3" r:id="rId3"/>
    <sheet name="Оценка_релизов" sheetId="4" r:id="rId4"/>
    <sheet name="Первый_релиз" sheetId="5" r:id="rId5"/>
    <sheet name="Следующие_релизы" sheetId="6" r:id="rId6"/>
    <sheet name="Дорожная_карта" sheetId="7" r:id="rId7"/>
    <sheet name="Проверка_ценности" sheetId="8" r:id="rId8"/>
    <sheet name="Риски_зависимости" sheetId="9" r:id="rId9"/>
    <sheet name="Дашборд" sheetId="10" r:id="rId10"/>
    <sheet name="Справочники" sheetId="11" r:id="rId11"/>
    <sheet name="Журнал_6_5" sheetId="12" r:id="rId12"/>
  </sheets>
  <calcPr calcId="191029"/>
</workbook>
</file>

<file path=xl/calcChain.xml><?xml version="1.0" encoding="utf-8"?>
<calcChain xmlns="http://schemas.openxmlformats.org/spreadsheetml/2006/main">
  <c r="B4" i="10" l="1"/>
  <c r="B9" i="10"/>
  <c r="G11" i="9"/>
  <c r="G10" i="9"/>
  <c r="G9" i="9"/>
  <c r="G8" i="9"/>
  <c r="G7" i="9"/>
  <c r="G6" i="9"/>
  <c r="G5" i="9"/>
  <c r="G4" i="9"/>
  <c r="R101" i="3"/>
  <c r="Q101" i="3"/>
  <c r="S101" i="3" s="1"/>
  <c r="T101" i="3" s="1"/>
  <c r="R100" i="3"/>
  <c r="Q100" i="3"/>
  <c r="S100" i="3" s="1"/>
  <c r="T100" i="3" s="1"/>
  <c r="R99" i="3"/>
  <c r="Q99" i="3"/>
  <c r="S99" i="3" s="1"/>
  <c r="T99" i="3" s="1"/>
  <c r="R98" i="3"/>
  <c r="Q98" i="3"/>
  <c r="S98" i="3" s="1"/>
  <c r="T98" i="3" s="1"/>
  <c r="R97" i="3"/>
  <c r="Q97" i="3"/>
  <c r="S97" i="3" s="1"/>
  <c r="T97" i="3" s="1"/>
  <c r="R96" i="3"/>
  <c r="Q96" i="3"/>
  <c r="S96" i="3" s="1"/>
  <c r="T96" i="3" s="1"/>
  <c r="R95" i="3"/>
  <c r="Q95" i="3"/>
  <c r="S95" i="3" s="1"/>
  <c r="T95" i="3" s="1"/>
  <c r="R94" i="3"/>
  <c r="Q94" i="3"/>
  <c r="S94" i="3" s="1"/>
  <c r="T94" i="3" s="1"/>
  <c r="R93" i="3"/>
  <c r="Q93" i="3"/>
  <c r="S93" i="3" s="1"/>
  <c r="T93" i="3" s="1"/>
  <c r="R92" i="3"/>
  <c r="Q92" i="3"/>
  <c r="S92" i="3" s="1"/>
  <c r="T92" i="3" s="1"/>
  <c r="R91" i="3"/>
  <c r="Q91" i="3"/>
  <c r="S91" i="3" s="1"/>
  <c r="T91" i="3" s="1"/>
  <c r="R90" i="3"/>
  <c r="Q90" i="3"/>
  <c r="S90" i="3" s="1"/>
  <c r="T90" i="3" s="1"/>
  <c r="R89" i="3"/>
  <c r="Q89" i="3"/>
  <c r="S89" i="3" s="1"/>
  <c r="T89" i="3" s="1"/>
  <c r="R88" i="3"/>
  <c r="Q88" i="3"/>
  <c r="S88" i="3" s="1"/>
  <c r="T88" i="3" s="1"/>
  <c r="R87" i="3"/>
  <c r="Q87" i="3"/>
  <c r="S87" i="3" s="1"/>
  <c r="T87" i="3" s="1"/>
  <c r="R86" i="3"/>
  <c r="Q86" i="3"/>
  <c r="S86" i="3" s="1"/>
  <c r="T86" i="3" s="1"/>
  <c r="R85" i="3"/>
  <c r="Q85" i="3"/>
  <c r="S85" i="3" s="1"/>
  <c r="T85" i="3" s="1"/>
  <c r="R84" i="3"/>
  <c r="Q84" i="3"/>
  <c r="S84" i="3" s="1"/>
  <c r="T84" i="3" s="1"/>
  <c r="R83" i="3"/>
  <c r="Q83" i="3"/>
  <c r="S83" i="3" s="1"/>
  <c r="T83" i="3" s="1"/>
  <c r="R82" i="3"/>
  <c r="Q82" i="3"/>
  <c r="S82" i="3" s="1"/>
  <c r="T82" i="3" s="1"/>
  <c r="R81" i="3"/>
  <c r="Q81" i="3"/>
  <c r="S81" i="3" s="1"/>
  <c r="T81" i="3" s="1"/>
  <c r="R80" i="3"/>
  <c r="Q80" i="3"/>
  <c r="S80" i="3" s="1"/>
  <c r="T80" i="3" s="1"/>
  <c r="R79" i="3"/>
  <c r="Q79" i="3"/>
  <c r="S79" i="3" s="1"/>
  <c r="T79" i="3" s="1"/>
  <c r="R78" i="3"/>
  <c r="Q78" i="3"/>
  <c r="S78" i="3" s="1"/>
  <c r="T78" i="3" s="1"/>
  <c r="R77" i="3"/>
  <c r="Q77" i="3"/>
  <c r="S77" i="3" s="1"/>
  <c r="T77" i="3" s="1"/>
  <c r="R76" i="3"/>
  <c r="Q76" i="3"/>
  <c r="S76" i="3" s="1"/>
  <c r="T76" i="3" s="1"/>
  <c r="R75" i="3"/>
  <c r="Q75" i="3"/>
  <c r="S75" i="3" s="1"/>
  <c r="T75" i="3" s="1"/>
  <c r="R74" i="3"/>
  <c r="Q74" i="3"/>
  <c r="S74" i="3" s="1"/>
  <c r="T74" i="3" s="1"/>
  <c r="R73" i="3"/>
  <c r="Q73" i="3"/>
  <c r="S73" i="3" s="1"/>
  <c r="T73" i="3" s="1"/>
  <c r="R72" i="3"/>
  <c r="Q72" i="3"/>
  <c r="S72" i="3" s="1"/>
  <c r="T72" i="3" s="1"/>
  <c r="R71" i="3"/>
  <c r="Q71" i="3"/>
  <c r="S71" i="3" s="1"/>
  <c r="T71" i="3" s="1"/>
  <c r="R70" i="3"/>
  <c r="Q70" i="3"/>
  <c r="S70" i="3" s="1"/>
  <c r="T70" i="3" s="1"/>
  <c r="R69" i="3"/>
  <c r="Q69" i="3"/>
  <c r="S69" i="3" s="1"/>
  <c r="T69" i="3" s="1"/>
  <c r="R68" i="3"/>
  <c r="Q68" i="3"/>
  <c r="S68" i="3" s="1"/>
  <c r="T68" i="3" s="1"/>
  <c r="R67" i="3"/>
  <c r="Q67" i="3"/>
  <c r="S67" i="3" s="1"/>
  <c r="T67" i="3" s="1"/>
  <c r="R66" i="3"/>
  <c r="Q66" i="3"/>
  <c r="S66" i="3" s="1"/>
  <c r="T66" i="3" s="1"/>
  <c r="R65" i="3"/>
  <c r="Q65" i="3"/>
  <c r="S65" i="3" s="1"/>
  <c r="T65" i="3" s="1"/>
  <c r="R64" i="3"/>
  <c r="Q64" i="3"/>
  <c r="S64" i="3" s="1"/>
  <c r="T64" i="3" s="1"/>
  <c r="R63" i="3"/>
  <c r="Q63" i="3"/>
  <c r="S63" i="3" s="1"/>
  <c r="T63" i="3" s="1"/>
  <c r="R62" i="3"/>
  <c r="Q62" i="3"/>
  <c r="S62" i="3" s="1"/>
  <c r="T62" i="3" s="1"/>
  <c r="R61" i="3"/>
  <c r="Q61" i="3"/>
  <c r="S61" i="3" s="1"/>
  <c r="T61" i="3" s="1"/>
  <c r="R60" i="3"/>
  <c r="Q60" i="3"/>
  <c r="S60" i="3" s="1"/>
  <c r="T60" i="3" s="1"/>
  <c r="R59" i="3"/>
  <c r="Q59" i="3"/>
  <c r="S59" i="3" s="1"/>
  <c r="T59" i="3" s="1"/>
  <c r="R58" i="3"/>
  <c r="Q58" i="3"/>
  <c r="S58" i="3" s="1"/>
  <c r="T58" i="3" s="1"/>
  <c r="R57" i="3"/>
  <c r="Q57" i="3"/>
  <c r="S57" i="3" s="1"/>
  <c r="T57" i="3" s="1"/>
  <c r="R56" i="3"/>
  <c r="Q56" i="3"/>
  <c r="S56" i="3" s="1"/>
  <c r="T56" i="3" s="1"/>
  <c r="R55" i="3"/>
  <c r="Q55" i="3"/>
  <c r="S55" i="3" s="1"/>
  <c r="T55" i="3" s="1"/>
  <c r="R54" i="3"/>
  <c r="Q54" i="3"/>
  <c r="S54" i="3" s="1"/>
  <c r="T54" i="3" s="1"/>
  <c r="R53" i="3"/>
  <c r="Q53" i="3"/>
  <c r="S53" i="3" s="1"/>
  <c r="T53" i="3" s="1"/>
  <c r="R52" i="3"/>
  <c r="Q52" i="3"/>
  <c r="S52" i="3" s="1"/>
  <c r="T52" i="3" s="1"/>
  <c r="R51" i="3"/>
  <c r="Q51" i="3"/>
  <c r="S51" i="3" s="1"/>
  <c r="T51" i="3" s="1"/>
  <c r="R50" i="3"/>
  <c r="Q50" i="3"/>
  <c r="S50" i="3" s="1"/>
  <c r="T50" i="3" s="1"/>
  <c r="R49" i="3"/>
  <c r="Q49" i="3"/>
  <c r="S49" i="3" s="1"/>
  <c r="T49" i="3" s="1"/>
  <c r="R48" i="3"/>
  <c r="Q48" i="3"/>
  <c r="S48" i="3" s="1"/>
  <c r="T48" i="3" s="1"/>
  <c r="R47" i="3"/>
  <c r="Q47" i="3"/>
  <c r="S47" i="3" s="1"/>
  <c r="T47" i="3" s="1"/>
  <c r="R46" i="3"/>
  <c r="Q46" i="3"/>
  <c r="S46" i="3" s="1"/>
  <c r="T46" i="3" s="1"/>
  <c r="R45" i="3"/>
  <c r="Q45" i="3"/>
  <c r="S45" i="3" s="1"/>
  <c r="T45" i="3" s="1"/>
  <c r="R44" i="3"/>
  <c r="Q44" i="3"/>
  <c r="S44" i="3" s="1"/>
  <c r="T44" i="3" s="1"/>
  <c r="R43" i="3"/>
  <c r="Q43" i="3"/>
  <c r="S43" i="3" s="1"/>
  <c r="T43" i="3" s="1"/>
  <c r="R42" i="3"/>
  <c r="Q42" i="3"/>
  <c r="S42" i="3" s="1"/>
  <c r="T42" i="3" s="1"/>
  <c r="R41" i="3"/>
  <c r="Q41" i="3"/>
  <c r="S41" i="3" s="1"/>
  <c r="T41" i="3" s="1"/>
  <c r="R40" i="3"/>
  <c r="Q40" i="3"/>
  <c r="S40" i="3" s="1"/>
  <c r="T40" i="3" s="1"/>
  <c r="R39" i="3"/>
  <c r="Q39" i="3"/>
  <c r="S39" i="3" s="1"/>
  <c r="T39" i="3" s="1"/>
  <c r="R38" i="3"/>
  <c r="Q38" i="3"/>
  <c r="S38" i="3" s="1"/>
  <c r="T38" i="3" s="1"/>
  <c r="R37" i="3"/>
  <c r="Q37" i="3"/>
  <c r="S37" i="3" s="1"/>
  <c r="T37" i="3" s="1"/>
  <c r="R36" i="3"/>
  <c r="Q36" i="3"/>
  <c r="S36" i="3" s="1"/>
  <c r="T36" i="3" s="1"/>
  <c r="R35" i="3"/>
  <c r="Q35" i="3"/>
  <c r="S35" i="3" s="1"/>
  <c r="T35" i="3" s="1"/>
  <c r="R34" i="3"/>
  <c r="Q34" i="3"/>
  <c r="S34" i="3" s="1"/>
  <c r="T34" i="3" s="1"/>
  <c r="R33" i="3"/>
  <c r="Q33" i="3"/>
  <c r="S33" i="3" s="1"/>
  <c r="T33" i="3" s="1"/>
  <c r="R32" i="3"/>
  <c r="Q32" i="3"/>
  <c r="S32" i="3" s="1"/>
  <c r="T32" i="3" s="1"/>
  <c r="R31" i="3"/>
  <c r="Q31" i="3"/>
  <c r="S31" i="3" s="1"/>
  <c r="T31" i="3" s="1"/>
  <c r="R30" i="3"/>
  <c r="Q30" i="3"/>
  <c r="S30" i="3" s="1"/>
  <c r="T30" i="3" s="1"/>
  <c r="R29" i="3"/>
  <c r="Q29" i="3"/>
  <c r="S29" i="3" s="1"/>
  <c r="T29" i="3" s="1"/>
  <c r="R28" i="3"/>
  <c r="Q28" i="3"/>
  <c r="S28" i="3" s="1"/>
  <c r="T28" i="3" s="1"/>
  <c r="R27" i="3"/>
  <c r="Q27" i="3"/>
  <c r="S27" i="3" s="1"/>
  <c r="T27" i="3" s="1"/>
  <c r="R26" i="3"/>
  <c r="Q26" i="3"/>
  <c r="S26" i="3" s="1"/>
  <c r="T26" i="3" s="1"/>
  <c r="R25" i="3"/>
  <c r="Q25" i="3"/>
  <c r="S25" i="3" s="1"/>
  <c r="T25" i="3" s="1"/>
  <c r="R24" i="3"/>
  <c r="Q24" i="3"/>
  <c r="S24" i="3" s="1"/>
  <c r="T24" i="3" s="1"/>
  <c r="R23" i="3"/>
  <c r="Q23" i="3"/>
  <c r="S23" i="3" s="1"/>
  <c r="T23" i="3" s="1"/>
  <c r="R22" i="3"/>
  <c r="Q22" i="3"/>
  <c r="S22" i="3" s="1"/>
  <c r="T22" i="3" s="1"/>
  <c r="R21" i="3"/>
  <c r="Q21" i="3"/>
  <c r="S21" i="3" s="1"/>
  <c r="T21" i="3" s="1"/>
  <c r="R20" i="3"/>
  <c r="Q20" i="3"/>
  <c r="R19" i="3"/>
  <c r="Q19" i="3"/>
  <c r="S19" i="3" s="1"/>
  <c r="T19" i="3" s="1"/>
  <c r="R18" i="3"/>
  <c r="Q18" i="3"/>
  <c r="S18" i="3" s="1"/>
  <c r="T18" i="3" s="1"/>
  <c r="R17" i="3"/>
  <c r="Q17" i="3"/>
  <c r="S17" i="3" s="1"/>
  <c r="T17" i="3" s="1"/>
  <c r="R16" i="3"/>
  <c r="Q16" i="3"/>
  <c r="S16" i="3" s="1"/>
  <c r="T16" i="3" s="1"/>
  <c r="S15" i="3"/>
  <c r="T15" i="3" s="1"/>
  <c r="R15" i="3"/>
  <c r="Q15" i="3"/>
  <c r="R14" i="3"/>
  <c r="Q14" i="3"/>
  <c r="S14" i="3" s="1"/>
  <c r="T14" i="3" s="1"/>
  <c r="R13" i="3"/>
  <c r="Q13" i="3"/>
  <c r="S13" i="3" s="1"/>
  <c r="T13" i="3" s="1"/>
  <c r="R12" i="3"/>
  <c r="Q12" i="3"/>
  <c r="R11" i="3"/>
  <c r="Q11" i="3"/>
  <c r="S11" i="3" s="1"/>
  <c r="T11" i="3" s="1"/>
  <c r="R10" i="3"/>
  <c r="S10" i="3" s="1"/>
  <c r="T10" i="3" s="1"/>
  <c r="Q10" i="3"/>
  <c r="R9" i="3"/>
  <c r="Q9" i="3"/>
  <c r="S9" i="3" s="1"/>
  <c r="T9" i="3" s="1"/>
  <c r="R8" i="3"/>
  <c r="Q8" i="3"/>
  <c r="S8" i="3" s="1"/>
  <c r="T8" i="3" s="1"/>
  <c r="S7" i="3"/>
  <c r="T7" i="3" s="1"/>
  <c r="R7" i="3"/>
  <c r="Q7" i="3"/>
  <c r="R6" i="3"/>
  <c r="S6" i="3" s="1"/>
  <c r="Q6" i="3"/>
  <c r="R5" i="3"/>
  <c r="Q5" i="3"/>
  <c r="S5" i="3" s="1"/>
  <c r="T5" i="3" s="1"/>
  <c r="S4" i="3"/>
  <c r="T4" i="3" s="1"/>
  <c r="R4" i="3"/>
  <c r="Q4" i="3"/>
  <c r="R3" i="3"/>
  <c r="Q3" i="3"/>
  <c r="S3" i="3" s="1"/>
  <c r="R2" i="3"/>
  <c r="Q2" i="3"/>
  <c r="S2" i="3" s="1"/>
  <c r="S12" i="3" l="1"/>
  <c r="S20" i="3"/>
  <c r="T20" i="3" s="1"/>
  <c r="T6" i="3"/>
  <c r="I4" i="4"/>
  <c r="T2" i="3"/>
  <c r="T3" i="3"/>
  <c r="F4" i="10" l="1"/>
  <c r="B5" i="10"/>
  <c r="B6" i="4"/>
  <c r="F6" i="10"/>
  <c r="F5" i="10"/>
  <c r="B5" i="4"/>
  <c r="B4" i="4"/>
  <c r="B19" i="10"/>
  <c r="B14" i="10"/>
  <c r="B17" i="10"/>
  <c r="E5" i="4"/>
  <c r="G5" i="4"/>
  <c r="H5" i="4"/>
  <c r="H4" i="4"/>
  <c r="D5" i="4"/>
  <c r="F6" i="4"/>
  <c r="E4" i="4"/>
  <c r="I6" i="4"/>
  <c r="I5" i="4"/>
  <c r="B6" i="10"/>
  <c r="D4" i="4"/>
  <c r="B7" i="10"/>
  <c r="C6" i="4"/>
  <c r="C5" i="4"/>
  <c r="B8" i="10"/>
  <c r="B18" i="10"/>
  <c r="C4" i="4"/>
  <c r="G6" i="4"/>
  <c r="G4" i="4"/>
  <c r="E6" i="4"/>
  <c r="B15" i="10"/>
  <c r="H6" i="4"/>
  <c r="B13" i="10"/>
  <c r="B16" i="10"/>
  <c r="T12" i="3"/>
  <c r="F5" i="4"/>
  <c r="F4" i="4"/>
  <c r="D6" i="4"/>
  <c r="J5" i="4" l="1"/>
  <c r="J4" i="4"/>
  <c r="J6" i="4"/>
</calcChain>
</file>

<file path=xl/sharedStrings.xml><?xml version="1.0" encoding="utf-8"?>
<sst xmlns="http://schemas.openxmlformats.org/spreadsheetml/2006/main" count="802" uniqueCount="535">
  <si>
    <t>Шаблон деления разработки сайта или мобильного приложения на первый и последующие релизы</t>
  </si>
  <si>
    <t>Назначение файла</t>
  </si>
  <si>
    <t>Логика работы</t>
  </si>
  <si>
    <t>Принцип первого релиза</t>
  </si>
  <si>
    <t>Что нельзя переносить из первого релиза</t>
  </si>
  <si>
    <t>Как читать расчет</t>
  </si>
  <si>
    <t>Редактируемые поля</t>
  </si>
  <si>
    <t>Шаг</t>
  </si>
  <si>
    <t>Действие</t>
  </si>
  <si>
    <t>Результат</t>
  </si>
  <si>
    <t>ID вывода</t>
  </si>
  <si>
    <t>Вид анализа</t>
  </si>
  <si>
    <t>Объект анализа</t>
  </si>
  <si>
    <t>Ключевой вывод</t>
  </si>
  <si>
    <t>Проблема / потребность</t>
  </si>
  <si>
    <t>Пользовательский сегмент</t>
  </si>
  <si>
    <t>Доказательство</t>
  </si>
  <si>
    <t>Источник / ссылка</t>
  </si>
  <si>
    <t>Достоверность 1–5</t>
  </si>
  <si>
    <t>Значимость 1–5</t>
  </si>
  <si>
    <t>Вывод для релизов</t>
  </si>
  <si>
    <t>Связанная единица разработки</t>
  </si>
  <si>
    <t>A-001</t>
  </si>
  <si>
    <t>Анализ отзывов</t>
  </si>
  <si>
    <t>Новый пользователь</t>
  </si>
  <si>
    <t>A-002</t>
  </si>
  <si>
    <t>Анализ конкурентов по сайтам</t>
  </si>
  <si>
    <t>A-003</t>
  </si>
  <si>
    <t>Ценностное предложение</t>
  </si>
  <si>
    <t>A-004</t>
  </si>
  <si>
    <t>Канвас</t>
  </si>
  <si>
    <t>A-005</t>
  </si>
  <si>
    <t>Пользовательские сценарии</t>
  </si>
  <si>
    <t>ID</t>
  </si>
  <si>
    <t>Тип единицы</t>
  </si>
  <si>
    <t>Название единицы разработки</t>
  </si>
  <si>
    <t>Роль / сегмент</t>
  </si>
  <si>
    <t>Связанный сценарий</t>
  </si>
  <si>
    <t>Блок Канвас</t>
  </si>
  <si>
    <t>Связь с ценностным предложением 1–5</t>
  </si>
  <si>
    <t>Критичность для первого дохода 1–5</t>
  </si>
  <si>
    <t>Потенциал удержания 1–5</t>
  </si>
  <si>
    <t>Потенциал роста аудитории 1–5</t>
  </si>
  <si>
    <t>Доказательность 1–5</t>
  </si>
  <si>
    <t>Рыночный стандарт 1–5</t>
  </si>
  <si>
    <t>Быстрота реализации 1–5</t>
  </si>
  <si>
    <t>Дешевизна реализации 1–5</t>
  </si>
  <si>
    <t>Технический риск 1–5</t>
  </si>
  <si>
    <t>Риск потери ценности при переносе 1–5</t>
  </si>
  <si>
    <t>Балл первого релиза</t>
  </si>
  <si>
    <t>Балл следующих релизов</t>
  </si>
  <si>
    <t>Рекомендованный релиз</t>
  </si>
  <si>
    <t>Решение</t>
  </si>
  <si>
    <t>Обоснование</t>
  </si>
  <si>
    <t>U-001</t>
  </si>
  <si>
    <t>Экран приложения</t>
  </si>
  <si>
    <t>U-002</t>
  </si>
  <si>
    <t>Страница сайта</t>
  </si>
  <si>
    <t>Потоки доходов</t>
  </si>
  <si>
    <t>U-003</t>
  </si>
  <si>
    <t>Функция</t>
  </si>
  <si>
    <t>U-004</t>
  </si>
  <si>
    <t>Форма</t>
  </si>
  <si>
    <t>U-005</t>
  </si>
  <si>
    <t>Интеграция</t>
  </si>
  <si>
    <t>Ключевые партнеры</t>
  </si>
  <si>
    <t>U-006</t>
  </si>
  <si>
    <t>Аналитика</t>
  </si>
  <si>
    <t>Ключевые ресурсы</t>
  </si>
  <si>
    <t>U-007</t>
  </si>
  <si>
    <t>Контентный блок</t>
  </si>
  <si>
    <t>U-008</t>
  </si>
  <si>
    <t>Административная функция</t>
  </si>
  <si>
    <t>Ключевые виды деятельности</t>
  </si>
  <si>
    <t>U-009</t>
  </si>
  <si>
    <t>Отношения с клиентами</t>
  </si>
  <si>
    <t>U-010</t>
  </si>
  <si>
    <t>Каналы</t>
  </si>
  <si>
    <t>Сводная оценка состава релизов</t>
  </si>
  <si>
    <t>Релиз</t>
  </si>
  <si>
    <t>Количество единиц</t>
  </si>
  <si>
    <t>Средний балл первого релиза</t>
  </si>
  <si>
    <t>Средняя доказательность</t>
  </si>
  <si>
    <t>Средняя связь с ценностью</t>
  </si>
  <si>
    <t>Средняя критичность дохода</t>
  </si>
  <si>
    <t>Среднее удержание</t>
  </si>
  <si>
    <t>Средний рост</t>
  </si>
  <si>
    <t>Средний технический риск</t>
  </si>
  <si>
    <t>Интерпретация</t>
  </si>
  <si>
    <t>Первый релиз</t>
  </si>
  <si>
    <t>Следующий релиз</t>
  </si>
  <si>
    <t>Не включать / проверить</t>
  </si>
  <si>
    <t>План первого релиза: быстрый и экономный выход на рынок без разрушения ценности</t>
  </si>
  <si>
    <t>Единица первого релиза</t>
  </si>
  <si>
    <t>Зачем нужна в первом релизе</t>
  </si>
  <si>
    <t>Проверяемая гипотеза</t>
  </si>
  <si>
    <t>Минимальная реализация</t>
  </si>
  <si>
    <t>Критерий готовности</t>
  </si>
  <si>
    <t>Метрика после запуска</t>
  </si>
  <si>
    <t>Ответственный</t>
  </si>
  <si>
    <t>FR-001</t>
  </si>
  <si>
    <t>FR-002</t>
  </si>
  <si>
    <t>FR-003</t>
  </si>
  <si>
    <t>План последующих релизов: развитие удержания, роста и операционной эффективности</t>
  </si>
  <si>
    <t>Единица развития</t>
  </si>
  <si>
    <t>Основание переноса</t>
  </si>
  <si>
    <t>Условие включения</t>
  </si>
  <si>
    <t>Ожидаемый эффект</t>
  </si>
  <si>
    <t>Связанная метрика</t>
  </si>
  <si>
    <t>Зависимости</t>
  </si>
  <si>
    <t>Комментарий</t>
  </si>
  <si>
    <t>NR-001</t>
  </si>
  <si>
    <t>Релиз 2</t>
  </si>
  <si>
    <t>NR-002</t>
  </si>
  <si>
    <t>NR-003</t>
  </si>
  <si>
    <t>Релиз 3</t>
  </si>
  <si>
    <t>Дорожная карта релизов</t>
  </si>
  <si>
    <t>Цель релиза</t>
  </si>
  <si>
    <t>Состав</t>
  </si>
  <si>
    <t>Ключевая гипотеза</t>
  </si>
  <si>
    <t>Что измеряем</t>
  </si>
  <si>
    <t>Критерий перехода к следующему релизу</t>
  </si>
  <si>
    <t>Ограничение бюджета / срока</t>
  </si>
  <si>
    <t>Риски</t>
  </si>
  <si>
    <t>Решение по запуску</t>
  </si>
  <si>
    <t>Дата начала</t>
  </si>
  <si>
    <t>Дата окончания</t>
  </si>
  <si>
    <t>Контрольный лист: первый релиз сохраняет ценностное предложение, монетизацию, удержание и рост</t>
  </si>
  <si>
    <t>Блок проверки</t>
  </si>
  <si>
    <t>Контрольный вопрос</t>
  </si>
  <si>
    <t>Оценка 1–5</t>
  </si>
  <si>
    <t>Риск при низкой оценке</t>
  </si>
  <si>
    <t>Что добавить / изменить</t>
  </si>
  <si>
    <t>Статус</t>
  </si>
  <si>
    <t>Ценность</t>
  </si>
  <si>
    <t>Оставить в первом релизе</t>
  </si>
  <si>
    <t>Готово</t>
  </si>
  <si>
    <t>Проблема</t>
  </si>
  <si>
    <t>В работе</t>
  </si>
  <si>
    <t>Монетизация</t>
  </si>
  <si>
    <t>Удержание</t>
  </si>
  <si>
    <t>Рост</t>
  </si>
  <si>
    <t>Экономичность</t>
  </si>
  <si>
    <t>Риски, зависимости и условия переноса функций между релизами</t>
  </si>
  <si>
    <t>Единица / решение</t>
  </si>
  <si>
    <t>Риск</t>
  </si>
  <si>
    <t>Тип риска</t>
  </si>
  <si>
    <t>Вероятность 1–5</t>
  </si>
  <si>
    <t>Влияние 1–5</t>
  </si>
  <si>
    <t>Индекс риска</t>
  </si>
  <si>
    <t>Митигирующее действие</t>
  </si>
  <si>
    <t>Связанный релиз</t>
  </si>
  <si>
    <t>R-001</t>
  </si>
  <si>
    <t>R-002</t>
  </si>
  <si>
    <t>Данные</t>
  </si>
  <si>
    <t>R-003</t>
  </si>
  <si>
    <t>Стоимость</t>
  </si>
  <si>
    <t>Дашборд готовности релизного плана</t>
  </si>
  <si>
    <t>Показатель</t>
  </si>
  <si>
    <t>Значение</t>
  </si>
  <si>
    <t>Количество</t>
  </si>
  <si>
    <t>Всего единиц разработки</t>
  </si>
  <si>
    <t>Количество страниц, экранов, функций, интеграций и контентных блоков в реестре</t>
  </si>
  <si>
    <t>Единиц в первом релизе</t>
  </si>
  <si>
    <t>Объем минимального рыночного выпуска</t>
  </si>
  <si>
    <t>Насколько первый релиз сочетает ценность, скорость и экономичность</t>
  </si>
  <si>
    <t>Средняя связь с ценностным предложением в первом релизе</t>
  </si>
  <si>
    <t>Должна быть высокой, иначе первый релиз теряет смысл</t>
  </si>
  <si>
    <t>Средний риск первого релиза</t>
  </si>
  <si>
    <t>Чем ниже, тем проще старт</t>
  </si>
  <si>
    <t>Средняя оценка контрольного листа ценности</t>
  </si>
  <si>
    <t>Показывает, насколько сохранены ценность, монетизация, удержание и рост</t>
  </si>
  <si>
    <t>Критерий</t>
  </si>
  <si>
    <t>Средняя оценка первого релиза</t>
  </si>
  <si>
    <t>Доход</t>
  </si>
  <si>
    <t>Доказательность</t>
  </si>
  <si>
    <t>Быстрота</t>
  </si>
  <si>
    <t>Дешевизна</t>
  </si>
  <si>
    <t>Справочники для выпадающих списков и шкал оценки</t>
  </si>
  <si>
    <t>Шкала</t>
  </si>
  <si>
    <t>Тип метрики</t>
  </si>
  <si>
    <t>Анализ проблем</t>
  </si>
  <si>
    <t>Не начато</t>
  </si>
  <si>
    <t>Потребительские сегменты</t>
  </si>
  <si>
    <t>Активация</t>
  </si>
  <si>
    <t>Конверсия</t>
  </si>
  <si>
    <t>Классификация конкурентов</t>
  </si>
  <si>
    <t>Требует решения</t>
  </si>
  <si>
    <t>Срок</t>
  </si>
  <si>
    <t>Повторное использование</t>
  </si>
  <si>
    <t>Технология</t>
  </si>
  <si>
    <t>Рост аудитории</t>
  </si>
  <si>
    <t>Цифровой товар</t>
  </si>
  <si>
    <t>Выручка</t>
  </si>
  <si>
    <t>Обращения в поддержку</t>
  </si>
  <si>
    <t>Стоимость привлечения</t>
  </si>
  <si>
    <t>Страницы и экраны</t>
  </si>
  <si>
    <t>Структура затрат</t>
  </si>
  <si>
    <t>Срок реализации</t>
  </si>
  <si>
    <t>Проблемы клиентов</t>
  </si>
  <si>
    <t>Проблема P-002</t>
  </si>
  <si>
    <t>Нет единого инструмента для всех нотаций проекта</t>
  </si>
  <si>
    <t>Нет единого инструмента</t>
  </si>
  <si>
    <t>Студенты и аналитики ПО</t>
  </si>
  <si>
    <t>ЛР5: IDEF0, DFD, сети Петри не найдены у 8 конкурентов</t>
  </si>
  <si>
    <t>6.1; ЛР5</t>
  </si>
  <si>
    <t>Ядро ценности - выбор нотации и редактор в первый релиз</t>
  </si>
  <si>
    <t>U-007, U-008</t>
  </si>
  <si>
    <t>Рыночный стандарт</t>
  </si>
  <si>
    <t>Стандарт товара</t>
  </si>
  <si>
    <t>Бесплатный доступ, экспорт, интеграции - у 8 из 8; документация и безопасность - у 6 из 8</t>
  </si>
  <si>
    <t>Ожидаемый минимум</t>
  </si>
  <si>
    <t>Все</t>
  </si>
  <si>
    <t>ЛР5: листы 07_Стандарт_рынка, 10_Стандарт</t>
  </si>
  <si>
    <t>ЛР5</t>
  </si>
  <si>
    <t>Стандарт включается в первый релиз в базовой форме</t>
  </si>
  <si>
    <t>U-003, U-009, U-004</t>
  </si>
  <si>
    <t>Единица монетизации</t>
  </si>
  <si>
    <t>Аналитики и разработчики</t>
  </si>
  <si>
    <t>6.1: M-001; опрос: 18 из 27 готовы платить</t>
  </si>
  <si>
    <t>6.1; ЛР4</t>
  </si>
  <si>
    <t>Один проверяемый способ монетизации обязателен в первом релизе</t>
  </si>
  <si>
    <t>U-003, U-006</t>
  </si>
  <si>
    <t>Бизнес-логика</t>
  </si>
  <si>
    <t>Сценарии 6.3</t>
  </si>
  <si>
    <t>Критический сценарий - оформление подписки; высокие - первая диаграмма и экспорт</t>
  </si>
  <si>
    <t>Основные сценарии</t>
  </si>
  <si>
    <t>Все роли</t>
  </si>
  <si>
    <t>6.3: индекс сценариев</t>
  </si>
  <si>
    <t>Сценарии S-004, S-006, S-008 входят в первый релиз</t>
  </si>
  <si>
    <t>U-008, U-009, U-006</t>
  </si>
  <si>
    <t>Приоритет единиц 6.4</t>
  </si>
  <si>
    <t>P1 по формуле: выбор нотации, редактор, экспорт; тарифы, регистрация, оплата - цепочка воронки</t>
  </si>
  <si>
    <t>Состав интерфейса</t>
  </si>
  <si>
    <t>6.4: лист Приоритизация</t>
  </si>
  <si>
    <t>Цепочка обнаружение - выбор - оплата - результат сохраняется</t>
  </si>
  <si>
    <t>U-003, U-005, U-006</t>
  </si>
  <si>
    <t>A-006</t>
  </si>
  <si>
    <t>Основной канал - поиск 47-59 % трафика; реферальные механики - перенос</t>
  </si>
  <si>
    <t>Студенты</t>
  </si>
  <si>
    <t>ЛР4: Similarweb Pro</t>
  </si>
  <si>
    <t>ЛР4</t>
  </si>
  <si>
    <t>Рост аудитории переносится в релиз 3</t>
  </si>
  <si>
    <t>U-018</t>
  </si>
  <si>
    <t>A-007</t>
  </si>
  <si>
    <t>Конкурентные преимущества</t>
  </si>
  <si>
    <t>Eraser, Mermaid Chart</t>
  </si>
  <si>
    <t>Лимиты ИИ используются как тарифный ограничитель; технический риск высокий</t>
  </si>
  <si>
    <t>ИИ-ассистент</t>
  </si>
  <si>
    <t>Аналитики</t>
  </si>
  <si>
    <t>Страницы тарифов, 01.10.2026</t>
  </si>
  <si>
    <t>ИИ-ассистент - во второй релиз</t>
  </si>
  <si>
    <t>U-013</t>
  </si>
  <si>
    <t>A-008</t>
  </si>
  <si>
    <t>Отзывы и опрос</t>
  </si>
  <si>
    <t>Опрос студентов</t>
  </si>
  <si>
    <t>Коллаборация важна 26 из 27; сложность реализации высокая</t>
  </si>
  <si>
    <t>Совместная работа</t>
  </si>
  <si>
    <t>Совместное редактирование - в релиз 3 или 4</t>
  </si>
  <si>
    <t>U-017</t>
  </si>
  <si>
    <t>Главная страница</t>
  </si>
  <si>
    <t>Посетитель</t>
  </si>
  <si>
    <t>SC-001</t>
  </si>
  <si>
    <t>Возможности и нотации</t>
  </si>
  <si>
    <t>SC-002</t>
  </si>
  <si>
    <t>Ценностные предложения</t>
  </si>
  <si>
    <t>Показывает конкурентное отличие: нотации IDEF0, DFD, сети Петри (ЛР5)</t>
  </si>
  <si>
    <t>Тарифы Free и Pro</t>
  </si>
  <si>
    <t>Потенциальный клиент</t>
  </si>
  <si>
    <t>Открытая страница тарифов у 5 из 8 конкурентов (ЛР5)</t>
  </si>
  <si>
    <t>Документация и примеры</t>
  </si>
  <si>
    <t>Активный пользователь</t>
  </si>
  <si>
    <t>SC-010</t>
  </si>
  <si>
    <t>Документация у 6 из 8 конкурентов (ЛР5)</t>
  </si>
  <si>
    <t>Регистрация и вход</t>
  </si>
  <si>
    <t>SC-003</t>
  </si>
  <si>
    <t>Вход нужен для сохранения диаграмм и подписки</t>
  </si>
  <si>
    <t>Оплата Pro</t>
  </si>
  <si>
    <t>Платящий клиент</t>
  </si>
  <si>
    <t>SC-008</t>
  </si>
  <si>
    <t>Монетизация - граница экономии (6.5, п. 7.5)</t>
  </si>
  <si>
    <t>Выбор нотации и шаблона</t>
  </si>
  <si>
    <t>SC-005</t>
  </si>
  <si>
    <t>Вход в ядро ценности; показывает набор нотаций</t>
  </si>
  <si>
    <t>Рабочая область редактора</t>
  </si>
  <si>
    <t>SC-004</t>
  </si>
  <si>
    <t>Ядро цифрового товара</t>
  </si>
  <si>
    <t>Результат и экспорт</t>
  </si>
  <si>
    <t>SC-006</t>
  </si>
  <si>
    <t>Экспорт у 8 из 8 конкурентов; PNG важен 27 из 27 (опрос)</t>
  </si>
  <si>
    <t>Мои диаграммы</t>
  </si>
  <si>
    <t>SC-007</t>
  </si>
  <si>
    <t>Возврат пользователя; история версий у 5 из 8</t>
  </si>
  <si>
    <t>U-011</t>
  </si>
  <si>
    <t>Подсказка об ошибке синтаксиса</t>
  </si>
  <si>
    <t>SC-009</t>
  </si>
  <si>
    <t>Данных о реализации у конкурентов нет (гипотеза)</t>
  </si>
  <si>
    <t>U-012</t>
  </si>
  <si>
    <t>Профиль и подписка</t>
  </si>
  <si>
    <t>Продление подписки</t>
  </si>
  <si>
    <t>ИИ-ассистент (заглушка в MVP)</t>
  </si>
  <si>
    <t>ИИ у 5 из 8 конкурентов; лимиты ИИ - тарифный ограничитель</t>
  </si>
  <si>
    <t>U-014</t>
  </si>
  <si>
    <t>Аналитика событий и обратная связь</t>
  </si>
  <si>
    <t>Внутренний администратор</t>
  </si>
  <si>
    <t>События и обратная связь включаются обязательно (6.5, п. 7.6)</t>
  </si>
  <si>
    <t>U-015</t>
  </si>
  <si>
    <t>Правовые тексты и конфиденциальность</t>
  </si>
  <si>
    <t>Раздел о безопасности у 6 из 8 конкурентов; правовые требования</t>
  </si>
  <si>
    <t>U-016</t>
  </si>
  <si>
    <t>Форма обращения в поддержку</t>
  </si>
  <si>
    <t>Базовая поддержка в первом релизе</t>
  </si>
  <si>
    <t>Совместное редактирование</t>
  </si>
  <si>
    <t>Администратор клиента</t>
  </si>
  <si>
    <t>SC-011</t>
  </si>
  <si>
    <t>Коллаборация у 6 из 8; важна 26 из 27 (опрос)</t>
  </si>
  <si>
    <t>Реферальные механики</t>
  </si>
  <si>
    <t>SC-012</t>
  </si>
  <si>
    <t>Рост аудитории переносится</t>
  </si>
  <si>
    <t>U-019</t>
  </si>
  <si>
    <t>API и интеграции</t>
  </si>
  <si>
    <t>Интеграции у 8 из 8, API у 5 из 8 (ЛР5)</t>
  </si>
  <si>
    <t>U-020</t>
  </si>
  <si>
    <t>Командный тариф</t>
  </si>
  <si>
    <t>Enterprise у 4 из 8 конкурентов</t>
  </si>
  <si>
    <t>Пользователь использует единицу и достигает цели сценария SC-001</t>
  </si>
  <si>
    <t>Минимальная реализация без автоматизации и персонализации</t>
  </si>
  <si>
    <t>Единица работает в основном сценарии SC-001 и показывает состояния ошибки</t>
  </si>
  <si>
    <t>Доля завершений сценария SC-001</t>
  </si>
  <si>
    <t>Руководитель проекта</t>
  </si>
  <si>
    <t>Пользователь использует единицу и достигает цели сценария SC-002</t>
  </si>
  <si>
    <t>Единица работает в основном сценарии SC-002 и показывает состояния ошибки</t>
  </si>
  <si>
    <t>Доля завершений сценария SC-002</t>
  </si>
  <si>
    <t>FR-004</t>
  </si>
  <si>
    <t>Пользователь использует единицу и достигает цели сценария SC-003</t>
  </si>
  <si>
    <t>Единица работает в основном сценарии SC-003 и показывает состояния ошибки</t>
  </si>
  <si>
    <t>Доля завершений сценария SC-003</t>
  </si>
  <si>
    <t>FR-005</t>
  </si>
  <si>
    <t>Пользователь использует единицу и достигает цели сценария SC-008</t>
  </si>
  <si>
    <t>Единица работает в основном сценарии SC-008 и показывает состояния ошибки</t>
  </si>
  <si>
    <t>Доля завершений сценария SC-008</t>
  </si>
  <si>
    <t>FR-006</t>
  </si>
  <si>
    <t>Пользователь использует единицу и достигает цели сценария SC-005</t>
  </si>
  <si>
    <t>Единица работает в основном сценарии SC-005 и показывает состояния ошибки</t>
  </si>
  <si>
    <t>Доля завершений сценария SC-005</t>
  </si>
  <si>
    <t>FR-007</t>
  </si>
  <si>
    <t>Пользователь использует единицу и достигает цели сценария SC-004</t>
  </si>
  <si>
    <t>Единица работает в основном сценарии SC-004 и показывает состояния ошибки</t>
  </si>
  <si>
    <t>Доля завершений сценария SC-004</t>
  </si>
  <si>
    <t>FR-008</t>
  </si>
  <si>
    <t>Пользователь использует единицу и достигает цели сценария SC-006</t>
  </si>
  <si>
    <t>Единица работает в основном сценарии SC-006 и показывает состояния ошибки</t>
  </si>
  <si>
    <t>Доля завершений сценария SC-006</t>
  </si>
  <si>
    <t>FR-009</t>
  </si>
  <si>
    <t>FR-010</t>
  </si>
  <si>
    <t>Не входит в минимальную цепочку первого релиза; балл следующих релизов 3,32</t>
  </si>
  <si>
    <t>Есть данные поведения релиза 1</t>
  </si>
  <si>
    <t>Рост удержания или дохода</t>
  </si>
  <si>
    <t>Метрика единицы U-004</t>
  </si>
  <si>
    <t>Стабильное ядро релиза 1</t>
  </si>
  <si>
    <t>Не входит в минимальную цепочку первого релиза; балл следующих релизов 3,28</t>
  </si>
  <si>
    <t>Метрика единицы U-010</t>
  </si>
  <si>
    <t>Не входит в минимальную цепочку первого релиза; балл следующих релизов 3,22</t>
  </si>
  <si>
    <t>Метрика единицы U-011</t>
  </si>
  <si>
    <t>NR-004</t>
  </si>
  <si>
    <t>Не входит в минимальную цепочку первого релиза; балл следующих релизов 2,84</t>
  </si>
  <si>
    <t>Метрика единицы U-012</t>
  </si>
  <si>
    <t>NR-005</t>
  </si>
  <si>
    <t>Не входит в минимальную цепочку первого релиза; балл следующих релизов 3,54</t>
  </si>
  <si>
    <t>Метрика единицы U-013</t>
  </si>
  <si>
    <t>NR-006</t>
  </si>
  <si>
    <t>Релиз 4</t>
  </si>
  <si>
    <t>Не входит в минимальную цепочку первого релиза; балл следующих релизов 3,12</t>
  </si>
  <si>
    <t>Метрика единицы U-016</t>
  </si>
  <si>
    <t>NR-007</t>
  </si>
  <si>
    <t>Не входит в минимальную цепочку первого релиза; балл следующих релизов 3,92</t>
  </si>
  <si>
    <t>Метрика единицы U-017</t>
  </si>
  <si>
    <t>NR-008</t>
  </si>
  <si>
    <t>Не входит в минимальную цепочку первого релиза; балл следующих релизов 2,62</t>
  </si>
  <si>
    <t>Метрика единицы U-018</t>
  </si>
  <si>
    <t>NR-009</t>
  </si>
  <si>
    <t>Не входит в минимальную цепочку первого релиза; балл следующих релизов 3,38</t>
  </si>
  <si>
    <t>Метрика единицы U-019</t>
  </si>
  <si>
    <t>NR-010</t>
  </si>
  <si>
    <t>Не входит в минимальную цепочку первого релиза; балл следующих релизов 2,9</t>
  </si>
  <si>
    <t>Метрика единицы U-020</t>
  </si>
  <si>
    <t>Релиз 0</t>
  </si>
  <si>
    <t>Прототип, тексты, правовые документы, события аналитики</t>
  </si>
  <si>
    <t>Прототип страниц и экранов 6.4, правовые тексты, события аналитики, ручные процедуры</t>
  </si>
  <si>
    <t>Состав первого релиза понятен пользователям</t>
  </si>
  <si>
    <t>Результаты проверки прототипа</t>
  </si>
  <si>
    <t>Расхождение прототипа и ожиданий</t>
  </si>
  <si>
    <t>До релиза 1</t>
  </si>
  <si>
    <t>Релиз 1</t>
  </si>
  <si>
    <t>Проверить ЦП и готовность платить</t>
  </si>
  <si>
    <t>Главная, возможности, тарифы, регистрация, выбор нотации, редактор с нотациями волны 1 (UML, ERD, IDEF0, IDEF1X, IDEF3, DFD), экспорт, оплата или заявка Pro, правовые тексты, аналитика, поддержка</t>
  </si>
  <si>
    <t>Пользователь строит диаграмму и понимает цену Pro</t>
  </si>
  <si>
    <t>Доля первой диаграммы, конверсия в Pro, повторные заходы</t>
  </si>
  <si>
    <t>Есть первая диаграмма и признаки спроса на Pro</t>
  </si>
  <si>
    <t>Запустить после контрольного листа первого релиза</t>
  </si>
  <si>
    <t>Удержание и качество</t>
  </si>
  <si>
    <t>Расширенное хранение и история версий, подсказки об ошибках, ИИ-ассистент с квотами, документация, нотации BPMN 2.0 (волна 2)</t>
  </si>
  <si>
    <t>Пользователи возвращаются</t>
  </si>
  <si>
    <t>Удержание на 7 и 30 дней, число ИИ-запросов</t>
  </si>
  <si>
    <t>Расходы на ИИ в пределах тарифа</t>
  </si>
  <si>
    <t>Рост расходов на ИИ</t>
  </si>
  <si>
    <t>После данных релиза 1</t>
  </si>
  <si>
    <t>Сети Петри (волна 3), реферальные механики, публичные страницы нотаций, контент, вузы</t>
  </si>
  <si>
    <t>Новые пользователи по каналам</t>
  </si>
  <si>
    <t>Подтверждены ценность и удержание</t>
  </si>
  <si>
    <t>Маркетинговый бюджет</t>
  </si>
  <si>
    <t>Низкая конверсия страниц</t>
  </si>
  <si>
    <t>После подтверждения удержания</t>
  </si>
  <si>
    <t>Расширение продукта</t>
  </si>
  <si>
    <t>Совместное редактирование, командный тариф, API и интеграции</t>
  </si>
  <si>
    <t>Командам нужна общая работа</t>
  </si>
  <si>
    <t>Средний доход, число команд</t>
  </si>
  <si>
    <t>Понята экономика и спрос команд</t>
  </si>
  <si>
    <t>Серверная синхронизация</t>
  </si>
  <si>
    <t>Сложность синхронизации</t>
  </si>
  <si>
    <t>Релиз 5</t>
  </si>
  <si>
    <t>Масштабирование</t>
  </si>
  <si>
    <t>Автоматизация поддержки, администрирование, производительность, безопасность</t>
  </si>
  <si>
    <t>Нагрузка, стоимость поддержки</t>
  </si>
  <si>
    <t>Повторяемая нагрузка</t>
  </si>
  <si>
    <t>Инфраструктура</t>
  </si>
  <si>
    <t>Рост затрат</t>
  </si>
  <si>
    <t>При росте нагрузки</t>
  </si>
  <si>
    <t>Может ли пользователь получить диаграмму в выбранной нотации из текста в первом релизе?</t>
  </si>
  <si>
    <t>Ядро: U-007, U-008, U-009</t>
  </si>
  <si>
    <t>Без ядра нечего проверять</t>
  </si>
  <si>
    <t>Закрывает ли первый релиз проблему P-002 (единый набор нотаций)?</t>
  </si>
  <si>
    <t>Нотации первого релиза - волна 1 документации NotaCode (UML, ERD, IDEF0, IDEF1X, IDEF3, DFD); BPMN 2.0 - волна 2, сети Петри - волна 3</t>
  </si>
  <si>
    <t>Ценностное отличие проявится позже</t>
  </si>
  <si>
    <t>Показать нотации на странице возможностей</t>
  </si>
  <si>
    <t>Есть ли в первом релизе способ проверить готовность платить?</t>
  </si>
  <si>
    <t>Тарифы U-003 и оплата U-006 (вариант Б) или заявка (вариант А)</t>
  </si>
  <si>
    <t>Нельзя проверить цену Pro</t>
  </si>
  <si>
    <t>Включить оплату или заявку</t>
  </si>
  <si>
    <t>Есть ли причина вернуться?</t>
  </si>
  <si>
    <t>Мои диаграммы U-010 - во втором релизе; в первом - сохранение через вход</t>
  </si>
  <si>
    <t>Минимальное сохранение в первом релизе</t>
  </si>
  <si>
    <t>Может ли аудитория расти без платной рекламы?</t>
  </si>
  <si>
    <t>Поисковый трафик 47-59 % у текстовых инструментов (ЛР4)</t>
  </si>
  <si>
    <t>Мало поискового трафика</t>
  </si>
  <si>
    <t>Страницы нотаций для поиска</t>
  </si>
  <si>
    <t>Можно ли выпустить первый релиз за короткий срок и малый бюджет?</t>
  </si>
  <si>
    <t>Исключены ИИ, коллаборация, API, реферальные механики</t>
  </si>
  <si>
    <t>Бюджет и сроки не определены</t>
  </si>
  <si>
    <t>Сложность разбора нотаций задерживает ядро</t>
  </si>
  <si>
    <t>Технический</t>
  </si>
  <si>
    <t>Вариант А: заявка на Pro без онлайн-оплаты; выбор провайдера до релиза</t>
  </si>
  <si>
    <t>Без аналитики нельзя принять решение о релизе 2</t>
  </si>
  <si>
    <t>Оставить минимальный набор событий в релизе 1</t>
  </si>
  <si>
    <t>R-004</t>
  </si>
  <si>
    <t>BPMN 2.0 (волна 2) и сети Петри (волна 3) не попадут в первый релиз, набор нотаций будет неполным</t>
  </si>
  <si>
    <t>Показать полный перечень нотаций на странице возможностей с пометкой о волнах</t>
  </si>
  <si>
    <t>R-005</t>
  </si>
  <si>
    <t>Расходы на ИИ-вызовы растут быстрее выручки</t>
  </si>
  <si>
    <t>Экономика</t>
  </si>
  <si>
    <t>Лимиты ИИ по тарифам; отложить до релиза 2</t>
  </si>
  <si>
    <t>R-006</t>
  </si>
  <si>
    <t>Мало документации - рост обращений в поддержку</t>
  </si>
  <si>
    <t>Поддержка</t>
  </si>
  <si>
    <t>Минимальные примеры в первом релизе, база знаний - в релизе 2</t>
  </si>
  <si>
    <t>R-007</t>
  </si>
  <si>
    <t>Совместное редактирование требует серверной синхронизации</t>
  </si>
  <si>
    <t>R-008</t>
  </si>
  <si>
    <t>Правовые тексты не готовы к запуску</t>
  </si>
  <si>
    <t>Правовой</t>
  </si>
  <si>
    <t>Подготовить политику конфиденциальности и условия до релиза 1</t>
  </si>
  <si>
    <t>Журнал рабочей копии: формулы, варианты релизов, ограничения</t>
  </si>
  <si>
    <t>Раздел</t>
  </si>
  <si>
    <t>Код</t>
  </si>
  <si>
    <t>Содержание</t>
  </si>
  <si>
    <t>Формула</t>
  </si>
  <si>
    <t>Ф-1</t>
  </si>
  <si>
    <t>Первый релиз по формуле</t>
  </si>
  <si>
    <t>Р-1</t>
  </si>
  <si>
    <t>Расхождение с формулой</t>
  </si>
  <si>
    <t>Р-3</t>
  </si>
  <si>
    <t>Вариант А</t>
  </si>
  <si>
    <t>В-А</t>
  </si>
  <si>
    <t>Вариант Б</t>
  </si>
  <si>
    <t>В-Б</t>
  </si>
  <si>
    <t>Рекомендация</t>
  </si>
  <si>
    <t>Р-2</t>
  </si>
  <si>
    <t>Ограничения</t>
  </si>
  <si>
    <t>О-1</t>
  </si>
  <si>
    <t>Подписка Pro 40 у.е. в год; Free без оплаты</t>
  </si>
  <si>
    <t>1 – очень низко</t>
  </si>
  <si>
    <t>2 – низко</t>
  </si>
  <si>
    <t>3 – средне</t>
  </si>
  <si>
    <t>4 – высоко</t>
  </si>
  <si>
    <t>5 – очень высоко</t>
  </si>
  <si>
    <t>Помочь разделить разработку цифрового товара на первый релиз и последующие релизы так, чтобы быстро и экономно выйти на рынок, но не разрушить ценностное предложение, удержание и потенциал роста аудитории</t>
  </si>
  <si>
    <t>1) перенесите выводы всех предыдущих анализов в лист «Банк_анализа»; 2) опишите страницы, экраны, функции, интеграции и контентные блоки в листе «Реестр_единиц»; 3) заполните баллы 1–5; 4) используйте расчетный рекомендованный релиз; 5) проверьте первый релиз на целостность ценности и монетизации</t>
  </si>
  <si>
    <t>Первый релиз должен содержать минимальный набор, который позволяет пользователю получить заявленную ценность, бизнесу – проверить спрос и монетизацию, а продукту – собрать данные для следующего роста</t>
  </si>
  <si>
    <t>Нельзя переносить элементы, без которых пользователь не достигает ключевого результата, невозможно проверить основную гипотезу, не работает единица монетизации, не собирается критически важная обратная связь или разрывается основной пользовательский сценарий</t>
  </si>
  <si>
    <t>Рекомендованный релиз формируется по баллам: связь с ценностным предложением, критичность для первого дохода, удержание, рост, доказательность, рыночный стандарт, быстрота и дешевизна реализации, технический риск и риск потери ценности при переносе</t>
  </si>
  <si>
    <t>Желтые поля предназначены для ввода. Зеленые поля являются расчетными. Справочники и выпадающие списки находятся на листе «Справочники»</t>
  </si>
  <si>
    <t>Собрать выводы из анализа проблем, отзывов, конкурентов, ценностного предложения, цифрового товара, Канвас, сценариев и страниц/экранов</t>
  </si>
  <si>
    <t>Единый банк доказанных оснований для решений по релизам</t>
  </si>
  <si>
    <t>Разложить будущий сайт или приложение на интерфейсные и функциональные единицы</t>
  </si>
  <si>
    <t>Перечень кандидатов на включение в релизы</t>
  </si>
  <si>
    <t>Оценить каждую единицу по шкалам 1–5</t>
  </si>
  <si>
    <t>Сравнимые баллы для быстрого и обоснованного выбора состава первого релиза</t>
  </si>
  <si>
    <t>Проверить, не нарушается ли ценностное предложение, монетизация, удержание и рост при переносе части функций</t>
  </si>
  <si>
    <t>Сбалансированный первый релиз без избыточной разработки</t>
  </si>
  <si>
    <t>Сформировать дорожную карту последующих релизов</t>
  </si>
  <si>
    <t>Последовательность развития продукта после выхода на рынок</t>
  </si>
  <si>
    <t>не собрано: бюджет</t>
  </si>
  <si>
    <t>не собрано: даты</t>
  </si>
  <si>
    <t>не собрано: срок и бюджет</t>
  </si>
  <si>
    <t>Удержание не ниже целевого (не собрано: порог)</t>
  </si>
  <si>
    <t>Единицы, рекомендованные в первый релиз: U-001, U-002, U-003, U-005, U-006, U-007, U-008, U-009, U-014, U-015 (10 из 20)</t>
  </si>
  <si>
    <t>По формуле шаблона документация, мои диаграммы, подсказки об ошибках, профиль, ИИ-ассистент и форма поддержки получают «Не включать / проверить» (кроме совместного редактирования - «Следующий»). В листе «Следующие_релизы» они назначены в релиз 2 (удержание и качество) и далее вручную по методике 6.5 (п. 7.8): форма поддержки и правовые тексты - минимальный состав первого релиза</t>
  </si>
  <si>
    <t>ЛР4: survey_students.csv (данные пробного опроса)</t>
  </si>
  <si>
    <t>Платежная готовность</t>
  </si>
  <si>
    <t>Объясняет обещание и ведет к регистрации; поиск - основной канал (ЛР4)</t>
  </si>
  <si>
    <t>Прототип подтвержден</t>
  </si>
  <si>
    <t>Сложность разбора нотаций; нет платежного провайдера</t>
  </si>
  <si>
    <t>Аудитория растет без платной рекламы</t>
  </si>
  <si>
    <t>После расчета экономики</t>
  </si>
  <si>
    <t>Нагрузка стабильно растет</t>
  </si>
  <si>
    <t>Пользователь не вернется</t>
  </si>
  <si>
    <t>Начать с UML и ERD, остальные нотации - итерациями; ограничить объем первой версии</t>
  </si>
  <si>
    <t>Отсутствие платежного провайдера для Беларуси</t>
  </si>
  <si>
    <t>Отложить до подтвержденного спроса</t>
  </si>
  <si>
    <t>Применен расчет шаблона: балл первого релиза и балл следующих релизов (шкала 1-5, 10 критериев), рекомендованный релиз - по правилам шаблона. ИРП по формуле docx (0-5, 9 показателей) не считался</t>
  </si>
  <si>
    <t>Вариант А «Быстрый выход»: Free и заявка на Pro без онлайн-оплаты. Состав релиза 1: главная, возможности, тарифы, регистрация, выбор нотации, редактор, экспорт, правовые тексты, аналитика, форма поддержки. Нотации волны 1 (UML, ERD, IDEF0, IDEF1X, IDEF3, DFD) и заглушка ИИ-ассистента входят. Исключения: онлайн-оплата, реальный ИИ-ассистент, BPMN 2.0 и сети Петри, подсказки об ошибках, совместная работа. Метрики: доля пользователей, построивших первую диаграмму; число заявок на Pro. Риск: платежная готовность проверяется косвенно</t>
  </si>
  <si>
    <t>Вариант Б «С оплатой»: Free и онлайн-оплата Pro (40 у.е. в год). Состав релиза 1: вариант А плюс оплата Pro и профиль с подпиской. Исключения: реальный ИИ-ассистент (в первом релизе заглушка), BPMN 2.0 и сети Петри, подсказки об ошибках, совместная работа, API. Метрики: доля первой диаграммы, конверсия Free в Pro, повторное использование. Риск: нужен платежный провайдер и срок увеличивается</t>
  </si>
  <si>
    <t>Рекомендуется вариант Б, если платежный провайдер выбран до релиза 1: граница экономии - один проверяемый способ монетизации; иначе вариант А как временный</t>
  </si>
  <si>
    <t>Оценки экспертные; сроки, бюджет и пороги метрик не заданы. Планируется собрать: срок и бюджет релиза 1, целевые значения метрик, даты релизов, платежный провайдер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</si>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</sst>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3" fillId="4" borderId="0" xfId="1" applyFont="1" applyFill="1" applyAlignment="1">
      <alignment vertical="top" wrapText="1"/>
    </xf>
    <xf numFmtId="1" fontId="3" fillId="4" borderId="0" xfId="1" applyNumberFormat="1" applyFont="1" applyFill="1" applyAlignment="1">
      <alignment vertical="top" wrapText="1"/>
    </xf>
    <xf numFmtId="0" fontId="3" fillId="6" borderId="0" xfId="1" applyFont="1" applyFill="1" applyAlignment="1">
      <alignment vertical="top" wrapText="1"/>
    </xf>
    <xf numFmtId="2" fontId="3" fillId="6" borderId="0" xfId="1" applyNumberFormat="1" applyFont="1" applyFill="1" applyAlignment="1">
      <alignment vertical="top" wrapText="1"/>
    </xf>
    <xf numFmtId="164" fontId="3" fillId="4" borderId="0" xfId="1" applyNumberFormat="1" applyFont="1" applyFill="1" applyAlignment="1">
      <alignment vertical="top" wrapText="1"/>
    </xf>
    <xf numFmtId="0" fontId="6" fillId="0" borderId="0" xfId="0" applyFont="1"/>
    <xf numFmtId="0" fontId="6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1" applyFont="1" applyFill="1" applyAlignment="1">
      <alignment horizontal="left" vertical="top" wrapText="1"/>
    </xf>
    <xf numFmtId="0" fontId="4" fillId="5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1" fillId="2" borderId="0" xfId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101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Дашборд!$E$4:$E$6</c:f>
              <c:strCache>
                <c:ptCount val="3"/>
                <c:pt idx="0">
                  <c:v>Первый релиз</c:v>
                </c:pt>
                <c:pt idx="1">
                  <c:v>Следующий релиз</c:v>
                </c:pt>
                <c:pt idx="2">
                  <c:v>Не включать / проверить</c:v>
                </c:pt>
              </c:strCache>
            </c:strRef>
          </c:cat>
          <c:val>
            <c:numRef>
              <c:f>Дашборд!$F$4:$F$6</c:f>
              <c:numCache>
                <c:formatCode>General</c:formatCode>
                <c:ptCount val="3"/>
                <c:pt idx="0">
                  <c:v>10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D-4D10-9BE5-EF3F6AD46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Оценка</c:v>
          </c:tx>
          <c:invertIfNegative val="1"/>
          <c:cat>
            <c:strRef>
              <c:f>Дашборд!$A$13:$A$19</c:f>
              <c:strCache>
                <c:ptCount val="7"/>
                <c:pt idx="0">
                  <c:v>Ценность</c:v>
                </c:pt>
                <c:pt idx="1">
                  <c:v>Доход</c:v>
                </c:pt>
                <c:pt idx="2">
                  <c:v>Удержание</c:v>
                </c:pt>
                <c:pt idx="3">
                  <c:v>Рост</c:v>
                </c:pt>
                <c:pt idx="4">
                  <c:v>Доказательность</c:v>
                </c:pt>
                <c:pt idx="5">
                  <c:v>Быстрота</c:v>
                </c:pt>
                <c:pt idx="6">
                  <c:v>Дешевизна</c:v>
                </c:pt>
              </c:strCache>
            </c:strRef>
          </c:cat>
          <c:val>
            <c:numRef>
              <c:f>Дашборд!$B$13:$B$19</c:f>
              <c:numCache>
                <c:formatCode>0.00</c:formatCode>
                <c:ptCount val="7"/>
                <c:pt idx="0">
                  <c:v>4.4000000000000004</c:v>
                </c:pt>
                <c:pt idx="1">
                  <c:v>3.8</c:v>
                </c:pt>
                <c:pt idx="2">
                  <c:v>3.2</c:v>
                </c:pt>
                <c:pt idx="3">
                  <c:v>3.2</c:v>
                </c:pt>
                <c:pt idx="4">
                  <c:v>4</c:v>
                </c:pt>
                <c:pt idx="5">
                  <c:v>4.0999999999999996</c:v>
                </c:pt>
                <c:pt idx="6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5-4762-AB6C-202EC03AF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AnalysisTable" displayName="BankAnalysisTable" ref="A1:L9" headerRowDxfId="100" dataDxfId="99" totalsRowDxfId="98">
  <tableColumns count="12">
    <tableColumn id="1" xr3:uid="{00000000-0010-0000-0000-000001000000}" name="ID вывода" dataDxfId="97"/>
    <tableColumn id="2" xr3:uid="{00000000-0010-0000-0000-000002000000}" name="Вид анализа" dataDxfId="96"/>
    <tableColumn id="3" xr3:uid="{00000000-0010-0000-0000-000003000000}" name="Объект анализа" dataDxfId="95"/>
    <tableColumn id="4" xr3:uid="{00000000-0010-0000-0000-000004000000}" name="Ключевой вывод" dataDxfId="94"/>
    <tableColumn id="5" xr3:uid="{00000000-0010-0000-0000-000005000000}" name="Проблема / потребность" dataDxfId="93"/>
    <tableColumn id="6" xr3:uid="{00000000-0010-0000-0000-000006000000}" name="Пользовательский сегмент" dataDxfId="92"/>
    <tableColumn id="7" xr3:uid="{00000000-0010-0000-0000-000007000000}" name="Доказательство" dataDxfId="91"/>
    <tableColumn id="8" xr3:uid="{00000000-0010-0000-0000-000008000000}" name="Источник / ссылка" dataDxfId="90"/>
    <tableColumn id="9" xr3:uid="{00000000-0010-0000-0000-000009000000}" name="Достоверность 1–5" dataDxfId="89"/>
    <tableColumn id="10" xr3:uid="{00000000-0010-0000-0000-00000A000000}" name="Значимость 1–5" dataDxfId="88"/>
    <tableColumn id="11" xr3:uid="{00000000-0010-0000-0000-00000B000000}" name="Вывод для релизов" dataDxfId="87"/>
    <tableColumn id="12" xr3:uid="{00000000-0010-0000-0000-00000C000000}" name="Связанная единица разработки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easeRegistryTable" displayName="ReleaseRegistryTable" ref="A1:U101" headerRowDxfId="85" dataDxfId="84" totalsRowDxfId="83">
  <tableColumns count="21">
    <tableColumn id="1" xr3:uid="{00000000-0010-0000-0100-000001000000}" name="ID" dataDxfId="82"/>
    <tableColumn id="2" xr3:uid="{00000000-0010-0000-0100-000002000000}" name="Тип единицы" dataDxfId="81"/>
    <tableColumn id="3" xr3:uid="{00000000-0010-0000-0100-000003000000}" name="Название единицы разработки" dataDxfId="80"/>
    <tableColumn id="4" xr3:uid="{00000000-0010-0000-0100-000004000000}" name="Роль / сегмент" dataDxfId="79"/>
    <tableColumn id="5" xr3:uid="{00000000-0010-0000-0100-000005000000}" name="Связанный сценарий" dataDxfId="78"/>
    <tableColumn id="6" xr3:uid="{00000000-0010-0000-0100-000006000000}" name="Блок Канвас" dataDxfId="77"/>
    <tableColumn id="7" xr3:uid="{00000000-0010-0000-0100-000007000000}" name="Связь с ценностным предложением 1–5" dataDxfId="76"/>
    <tableColumn id="8" xr3:uid="{00000000-0010-0000-0100-000008000000}" name="Критичность для первого дохода 1–5" dataDxfId="75"/>
    <tableColumn id="9" xr3:uid="{00000000-0010-0000-0100-000009000000}" name="Потенциал удержания 1–5" dataDxfId="74"/>
    <tableColumn id="10" xr3:uid="{00000000-0010-0000-0100-00000A000000}" name="Потенциал роста аудитории 1–5" dataDxfId="73"/>
    <tableColumn id="11" xr3:uid="{00000000-0010-0000-0100-00000B000000}" name="Доказательность 1–5" dataDxfId="72"/>
    <tableColumn id="12" xr3:uid="{00000000-0010-0000-0100-00000C000000}" name="Рыночный стандарт 1–5" dataDxfId="71"/>
    <tableColumn id="13" xr3:uid="{00000000-0010-0000-0100-00000D000000}" name="Быстрота реализации 1–5" dataDxfId="70"/>
    <tableColumn id="14" xr3:uid="{00000000-0010-0000-0100-00000E000000}" name="Дешевизна реализации 1–5" dataDxfId="69"/>
    <tableColumn id="15" xr3:uid="{00000000-0010-0000-0100-00000F000000}" name="Технический риск 1–5" dataDxfId="68"/>
    <tableColumn id="16" xr3:uid="{00000000-0010-0000-0100-000010000000}" name="Риск потери ценности при переносе 1–5" dataDxfId="67"/>
    <tableColumn id="17" xr3:uid="{00000000-0010-0000-0100-000011000000}" name="Балл первого релиза" dataDxfId="66"/>
    <tableColumn id="18" xr3:uid="{00000000-0010-0000-0100-000012000000}" name="Балл следующих релизов" dataDxfId="65"/>
    <tableColumn id="19" xr3:uid="{00000000-0010-0000-0100-000013000000}" name="Рекомендованный релиз" dataDxfId="64"/>
    <tableColumn id="20" xr3:uid="{00000000-0010-0000-0100-000014000000}" name="Решение" dataDxfId="63"/>
    <tableColumn id="21" xr3:uid="{00000000-0010-0000-0100-000015000000}" name="Обоснование" dataDxfId="6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rstReleasePlanTable" displayName="FirstReleasePlanTable" ref="A3:H13" headerRowDxfId="61" dataDxfId="60" totalsRowDxfId="59">
  <tableColumns count="8">
    <tableColumn id="1" xr3:uid="{00000000-0010-0000-0200-000001000000}" name="ID" dataDxfId="58"/>
    <tableColumn id="2" xr3:uid="{00000000-0010-0000-0200-000002000000}" name="Единица первого релиза" dataDxfId="57"/>
    <tableColumn id="3" xr3:uid="{00000000-0010-0000-0200-000003000000}" name="Зачем нужна в первом релизе" dataDxfId="56"/>
    <tableColumn id="4" xr3:uid="{00000000-0010-0000-0200-000004000000}" name="Проверяемая гипотеза" dataDxfId="55"/>
    <tableColumn id="5" xr3:uid="{00000000-0010-0000-0200-000005000000}" name="Минимальная реализация" dataDxfId="54"/>
    <tableColumn id="6" xr3:uid="{00000000-0010-0000-0200-000006000000}" name="Критерий готовности" dataDxfId="53"/>
    <tableColumn id="7" xr3:uid="{00000000-0010-0000-0200-000007000000}" name="Метрика после запуска" dataDxfId="52"/>
    <tableColumn id="8" xr3:uid="{00000000-0010-0000-0200-000008000000}" name="Ответственный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extReleasePlanTable" displayName="NextReleasePlanTable" ref="A3:I13" headerRowDxfId="50" dataDxfId="49" totalsRowDxfId="48">
  <tableColumns count="9">
    <tableColumn id="1" xr3:uid="{00000000-0010-0000-0300-000001000000}" name="ID" dataDxfId="47"/>
    <tableColumn id="2" xr3:uid="{00000000-0010-0000-0300-000002000000}" name="Релиз" dataDxfId="46"/>
    <tableColumn id="3" xr3:uid="{00000000-0010-0000-0300-000003000000}" name="Единица развития" dataDxfId="45"/>
    <tableColumn id="4" xr3:uid="{00000000-0010-0000-0300-000004000000}" name="Основание переноса" dataDxfId="44"/>
    <tableColumn id="5" xr3:uid="{00000000-0010-0000-0300-000005000000}" name="Условие включения" dataDxfId="43"/>
    <tableColumn id="6" xr3:uid="{00000000-0010-0000-0300-000006000000}" name="Ожидаемый эффект" dataDxfId="42"/>
    <tableColumn id="7" xr3:uid="{00000000-0010-0000-0300-000007000000}" name="Связанная метрика" dataDxfId="41"/>
    <tableColumn id="8" xr3:uid="{00000000-0010-0000-0300-000008000000}" name="Зависимости" dataDxfId="40"/>
    <tableColumn id="9" xr3:uid="{00000000-0010-0000-0300-000009000000}" name="Комментарий" data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admapTable" displayName="RoadmapTable" ref="A3:K9" headerRowDxfId="38" dataDxfId="37" totalsRowDxfId="36">
  <tableColumns count="11">
    <tableColumn id="1" xr3:uid="{00000000-0010-0000-0400-000001000000}" name="Релиз" dataDxfId="35"/>
    <tableColumn id="2" xr3:uid="{00000000-0010-0000-0400-000002000000}" name="Цель релиза" dataDxfId="34"/>
    <tableColumn id="3" xr3:uid="{00000000-0010-0000-0400-000003000000}" name="Состав" dataDxfId="33"/>
    <tableColumn id="4" xr3:uid="{00000000-0010-0000-0400-000004000000}" name="Ключевая гипотеза" dataDxfId="32"/>
    <tableColumn id="5" xr3:uid="{00000000-0010-0000-0400-000005000000}" name="Что измеряем" dataDxfId="31"/>
    <tableColumn id="6" xr3:uid="{00000000-0010-0000-0400-000006000000}" name="Критерий перехода к следующему релизу" dataDxfId="30"/>
    <tableColumn id="7" xr3:uid="{00000000-0010-0000-0400-000007000000}" name="Ограничение бюджета / срока" dataDxfId="29"/>
    <tableColumn id="8" xr3:uid="{00000000-0010-0000-0400-000008000000}" name="Риски" dataDxfId="28"/>
    <tableColumn id="9" xr3:uid="{00000000-0010-0000-0400-000009000000}" name="Решение по запуску" dataDxfId="27"/>
    <tableColumn id="10" xr3:uid="{00000000-0010-0000-0400-00000A000000}" name="Дата начала" dataDxfId="26"/>
    <tableColumn id="11" xr3:uid="{00000000-0010-0000-0400-00000B000000}" name="Дата окончания" dataDxfId="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ueCheckTable" displayName="ValueCheckTable" ref="A3:I9" headerRowDxfId="24" dataDxfId="23" totalsRowDxfId="22">
  <tableColumns count="9">
    <tableColumn id="1" xr3:uid="{00000000-0010-0000-0500-000001000000}" name="Блок проверки" dataDxfId="21"/>
    <tableColumn id="2" xr3:uid="{00000000-0010-0000-0500-000002000000}" name="Контрольный вопрос" dataDxfId="20"/>
    <tableColumn id="3" xr3:uid="{00000000-0010-0000-0500-000003000000}" name="Оценка 1–5" dataDxfId="19"/>
    <tableColumn id="4" xr3:uid="{00000000-0010-0000-0500-000004000000}" name="Доказательство" dataDxfId="18"/>
    <tableColumn id="5" xr3:uid="{00000000-0010-0000-0500-000005000000}" name="Риск при низкой оценке" dataDxfId="17"/>
    <tableColumn id="6" xr3:uid="{00000000-0010-0000-0500-000006000000}" name="Решение" dataDxfId="16"/>
    <tableColumn id="7" xr3:uid="{00000000-0010-0000-0500-000007000000}" name="Что добавить / изменить" dataDxfId="15"/>
    <tableColumn id="8" xr3:uid="{00000000-0010-0000-0500-000008000000}" name="Ответственный" dataDxfId="14"/>
    <tableColumn id="9" xr3:uid="{00000000-0010-0000-0500-000009000000}" name="Статус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sksTable" displayName="RisksTable" ref="A3:J11" headerRowDxfId="12" dataDxfId="11" totalsRowDxfId="10">
  <tableColumns count="10">
    <tableColumn id="1" xr3:uid="{00000000-0010-0000-0600-000001000000}" name="ID" dataDxfId="9"/>
    <tableColumn id="2" xr3:uid="{00000000-0010-0000-0600-000002000000}" name="Единица / решение" dataDxfId="8"/>
    <tableColumn id="3" xr3:uid="{00000000-0010-0000-0600-000003000000}" name="Риск" dataDxfId="7"/>
    <tableColumn id="4" xr3:uid="{00000000-0010-0000-0600-000004000000}" name="Тип риска" dataDxfId="6"/>
    <tableColumn id="5" xr3:uid="{00000000-0010-0000-0600-000005000000}" name="Вероятность 1–5" dataDxfId="5"/>
    <tableColumn id="6" xr3:uid="{00000000-0010-0000-0600-000006000000}" name="Влияние 1–5" dataDxfId="4"/>
    <tableColumn id="7" xr3:uid="{00000000-0010-0000-0600-000007000000}" name="Индекс риска" dataDxfId="3"/>
    <tableColumn id="8" xr3:uid="{00000000-0010-0000-0600-000008000000}" name="Митигирующее действие" dataDxfId="2"/>
    <tableColumn id="9" xr3:uid="{00000000-0010-0000-0600-000009000000}" name="Связанный релиз" dataDxfId="1"/>
    <tableColumn id="10" xr3:uid="{00000000-0010-0000-0600-00000A000000}" name="Ответственны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sqref="A1:H1"/>
    </sheetView>
  </sheetViews>
  <sheetFormatPr defaultRowHeight="14.25"/>
  <cols>
    <col min="1" max="1" width="55.625" customWidth="1"/>
    <col min="2" max="3" width="60.625" customWidth="1"/>
    <col min="4" max="8" width="9.625" customWidth="1"/>
  </cols>
  <sheetData>
    <row r="1" spans="1:8" ht="18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8"/>
      <c r="B2" s="8"/>
      <c r="C2" s="8"/>
      <c r="D2" s="8"/>
      <c r="E2" s="8"/>
      <c r="F2" s="8"/>
      <c r="G2" s="8"/>
      <c r="H2" s="8"/>
    </row>
    <row r="3" spans="1:8" ht="57">
      <c r="A3" s="9" t="s">
        <v>1</v>
      </c>
      <c r="B3" s="1" t="s">
        <v>495</v>
      </c>
      <c r="C3" s="8"/>
      <c r="D3" s="8"/>
      <c r="E3" s="8"/>
      <c r="F3" s="8"/>
      <c r="G3" s="8"/>
      <c r="H3" s="8"/>
    </row>
    <row r="4" spans="1:8" ht="85.5">
      <c r="A4" s="9" t="s">
        <v>2</v>
      </c>
      <c r="B4" s="1" t="s">
        <v>496</v>
      </c>
      <c r="C4" s="8"/>
      <c r="D4" s="8"/>
      <c r="E4" s="8"/>
      <c r="F4" s="8"/>
      <c r="G4" s="8"/>
      <c r="H4" s="8"/>
    </row>
    <row r="5" spans="1:8" ht="57">
      <c r="A5" s="9" t="s">
        <v>3</v>
      </c>
      <c r="B5" s="1" t="s">
        <v>497</v>
      </c>
      <c r="C5" s="8"/>
      <c r="D5" s="8"/>
      <c r="E5" s="8"/>
      <c r="F5" s="8"/>
      <c r="G5" s="8"/>
      <c r="H5" s="8"/>
    </row>
    <row r="6" spans="1:8" ht="71.25">
      <c r="A6" s="9" t="s">
        <v>4</v>
      </c>
      <c r="B6" s="1" t="s">
        <v>498</v>
      </c>
      <c r="C6" s="8"/>
      <c r="D6" s="8"/>
      <c r="E6" s="8"/>
      <c r="F6" s="8"/>
      <c r="G6" s="8"/>
      <c r="H6" s="8"/>
    </row>
    <row r="7" spans="1:8" ht="71.25">
      <c r="A7" s="9" t="s">
        <v>5</v>
      </c>
      <c r="B7" s="1" t="s">
        <v>499</v>
      </c>
      <c r="C7" s="8"/>
      <c r="D7" s="8"/>
      <c r="E7" s="8"/>
      <c r="F7" s="8"/>
      <c r="G7" s="8"/>
      <c r="H7" s="8"/>
    </row>
    <row r="8" spans="1:8" ht="42.75">
      <c r="A8" s="9" t="s">
        <v>6</v>
      </c>
      <c r="B8" s="1" t="s">
        <v>500</v>
      </c>
      <c r="C8" s="8"/>
      <c r="D8" s="8"/>
      <c r="E8" s="8"/>
      <c r="F8" s="8"/>
      <c r="G8" s="8"/>
      <c r="H8" s="8"/>
    </row>
    <row r="9" spans="1:8">
      <c r="A9" s="8"/>
      <c r="B9" s="8"/>
      <c r="C9" s="8"/>
      <c r="D9" s="8"/>
      <c r="E9" s="8"/>
      <c r="F9" s="8"/>
      <c r="G9" s="8"/>
      <c r="H9" s="8"/>
    </row>
    <row r="10" spans="1:8" ht="15">
      <c r="A10" s="10" t="s">
        <v>7</v>
      </c>
      <c r="B10" s="10" t="s">
        <v>8</v>
      </c>
      <c r="C10" s="10" t="s">
        <v>9</v>
      </c>
      <c r="D10" s="8"/>
      <c r="E10" s="8"/>
      <c r="F10" s="8"/>
      <c r="G10" s="8"/>
      <c r="H10" s="8"/>
    </row>
    <row r="11" spans="1:8" ht="42.75">
      <c r="A11" s="11">
        <v>1</v>
      </c>
      <c r="B11" s="11" t="s">
        <v>501</v>
      </c>
      <c r="C11" s="11" t="s">
        <v>502</v>
      </c>
      <c r="D11" s="8"/>
      <c r="E11" s="8"/>
      <c r="F11" s="8"/>
      <c r="G11" s="8"/>
      <c r="H11" s="8"/>
    </row>
    <row r="12" spans="1:8" ht="28.5">
      <c r="A12" s="11">
        <v>2</v>
      </c>
      <c r="B12" s="11" t="s">
        <v>503</v>
      </c>
      <c r="C12" s="11" t="s">
        <v>504</v>
      </c>
      <c r="D12" s="8"/>
      <c r="E12" s="8"/>
      <c r="F12" s="8"/>
      <c r="G12" s="8"/>
      <c r="H12" s="8"/>
    </row>
    <row r="13" spans="1:8" ht="28.5">
      <c r="A13" s="11">
        <v>3</v>
      </c>
      <c r="B13" s="11" t="s">
        <v>505</v>
      </c>
      <c r="C13" s="11" t="s">
        <v>506</v>
      </c>
      <c r="D13" s="8"/>
      <c r="E13" s="8"/>
      <c r="F13" s="8"/>
      <c r="G13" s="8"/>
      <c r="H13" s="8"/>
    </row>
    <row r="14" spans="1:8" ht="28.5">
      <c r="A14" s="11">
        <v>4</v>
      </c>
      <c r="B14" s="11" t="s">
        <v>507</v>
      </c>
      <c r="C14" s="11" t="s">
        <v>508</v>
      </c>
      <c r="D14" s="8"/>
      <c r="E14" s="8"/>
      <c r="F14" s="8"/>
      <c r="G14" s="8"/>
      <c r="H14" s="8"/>
    </row>
    <row r="15" spans="1:8">
      <c r="A15" s="11">
        <v>5</v>
      </c>
      <c r="B15" s="11" t="s">
        <v>509</v>
      </c>
      <c r="C15" s="11" t="s">
        <v>510</v>
      </c>
      <c r="D15" s="8"/>
      <c r="E15" s="8"/>
      <c r="F15" s="8"/>
      <c r="G15" s="8"/>
      <c r="H15" s="8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defaultRowHeight="14.25"/>
  <cols>
    <col min="1" max="1" width="14" customWidth="1"/>
    <col min="2" max="3" width="28" customWidth="1"/>
    <col min="4" max="4" width="55.625" customWidth="1"/>
    <col min="5" max="5" width="38" customWidth="1"/>
    <col min="6" max="6" width="28" customWidth="1"/>
    <col min="7" max="7" width="55.625" customWidth="1"/>
    <col min="8" max="8" width="32" customWidth="1"/>
    <col min="9" max="9" width="18.625" customWidth="1"/>
    <col min="10" max="10" width="15.625" customWidth="1"/>
    <col min="11" max="11" width="55.625" customWidth="1"/>
    <col min="12" max="12" width="32" customWidth="1"/>
  </cols>
  <sheetData>
    <row r="1" spans="1:12" ht="1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</row>
    <row r="2" spans="1:12">
      <c r="A2" s="1" t="s">
        <v>22</v>
      </c>
      <c r="B2" s="1" t="s">
        <v>199</v>
      </c>
      <c r="C2" s="1" t="s">
        <v>200</v>
      </c>
      <c r="D2" s="1" t="s">
        <v>201</v>
      </c>
      <c r="E2" s="1" t="s">
        <v>202</v>
      </c>
      <c r="F2" s="1" t="s">
        <v>203</v>
      </c>
      <c r="G2" s="1" t="s">
        <v>204</v>
      </c>
      <c r="H2" s="1" t="s">
        <v>205</v>
      </c>
      <c r="I2" s="2">
        <v>4</v>
      </c>
      <c r="J2" s="2">
        <v>5</v>
      </c>
      <c r="K2" s="1" t="s">
        <v>206</v>
      </c>
      <c r="L2" s="1" t="s">
        <v>207</v>
      </c>
    </row>
    <row r="3" spans="1:12" ht="28.5">
      <c r="A3" s="1" t="s">
        <v>25</v>
      </c>
      <c r="B3" s="1" t="s">
        <v>208</v>
      </c>
      <c r="C3" s="1" t="s">
        <v>209</v>
      </c>
      <c r="D3" s="1" t="s">
        <v>210</v>
      </c>
      <c r="E3" s="1" t="s">
        <v>211</v>
      </c>
      <c r="F3" s="1" t="s">
        <v>212</v>
      </c>
      <c r="G3" s="1" t="s">
        <v>213</v>
      </c>
      <c r="H3" s="1" t="s">
        <v>214</v>
      </c>
      <c r="I3" s="2">
        <v>4</v>
      </c>
      <c r="J3" s="2">
        <v>5</v>
      </c>
      <c r="K3" s="1" t="s">
        <v>215</v>
      </c>
      <c r="L3" s="1" t="s">
        <v>216</v>
      </c>
    </row>
    <row r="4" spans="1:12" ht="28.5">
      <c r="A4" s="1" t="s">
        <v>27</v>
      </c>
      <c r="B4" s="1" t="s">
        <v>139</v>
      </c>
      <c r="C4" s="1" t="s">
        <v>217</v>
      </c>
      <c r="D4" s="1" t="s">
        <v>489</v>
      </c>
      <c r="E4" s="1" t="s">
        <v>518</v>
      </c>
      <c r="F4" s="1" t="s">
        <v>218</v>
      </c>
      <c r="G4" s="1" t="s">
        <v>219</v>
      </c>
      <c r="H4" s="1" t="s">
        <v>220</v>
      </c>
      <c r="I4" s="2">
        <v>3</v>
      </c>
      <c r="J4" s="2">
        <v>5</v>
      </c>
      <c r="K4" s="1" t="s">
        <v>221</v>
      </c>
      <c r="L4" s="1" t="s">
        <v>222</v>
      </c>
    </row>
    <row r="5" spans="1:12" ht="28.5">
      <c r="A5" s="1" t="s">
        <v>29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227</v>
      </c>
      <c r="G5" s="1" t="s">
        <v>228</v>
      </c>
      <c r="H5" s="1">
        <v>6.3</v>
      </c>
      <c r="I5" s="2">
        <v>4</v>
      </c>
      <c r="J5" s="2">
        <v>5</v>
      </c>
      <c r="K5" s="1" t="s">
        <v>229</v>
      </c>
      <c r="L5" s="1" t="s">
        <v>230</v>
      </c>
    </row>
    <row r="6" spans="1:12" ht="28.5">
      <c r="A6" s="1" t="s">
        <v>31</v>
      </c>
      <c r="B6" s="1" t="s">
        <v>196</v>
      </c>
      <c r="C6" s="1" t="s">
        <v>231</v>
      </c>
      <c r="D6" s="1" t="s">
        <v>232</v>
      </c>
      <c r="E6" s="1" t="s">
        <v>233</v>
      </c>
      <c r="F6" s="1" t="s">
        <v>227</v>
      </c>
      <c r="G6" s="1" t="s">
        <v>234</v>
      </c>
      <c r="H6" s="1">
        <v>6.4</v>
      </c>
      <c r="I6" s="2">
        <v>4</v>
      </c>
      <c r="J6" s="2">
        <v>5</v>
      </c>
      <c r="K6" s="1" t="s">
        <v>235</v>
      </c>
      <c r="L6" s="1" t="s">
        <v>236</v>
      </c>
    </row>
    <row r="7" spans="1:12" ht="28.5">
      <c r="A7" s="1" t="s">
        <v>237</v>
      </c>
      <c r="B7" s="1" t="s">
        <v>141</v>
      </c>
      <c r="C7" s="1" t="s">
        <v>77</v>
      </c>
      <c r="D7" s="1" t="s">
        <v>238</v>
      </c>
      <c r="E7" s="1" t="s">
        <v>191</v>
      </c>
      <c r="F7" s="1" t="s">
        <v>239</v>
      </c>
      <c r="G7" s="1" t="s">
        <v>240</v>
      </c>
      <c r="H7" s="1" t="s">
        <v>241</v>
      </c>
      <c r="I7" s="2">
        <v>4</v>
      </c>
      <c r="J7" s="2">
        <v>3</v>
      </c>
      <c r="K7" s="1" t="s">
        <v>242</v>
      </c>
      <c r="L7" s="1" t="s">
        <v>243</v>
      </c>
    </row>
    <row r="8" spans="1:12" ht="28.5">
      <c r="A8" s="1" t="s">
        <v>244</v>
      </c>
      <c r="B8" s="1" t="s">
        <v>245</v>
      </c>
      <c r="C8" s="1" t="s">
        <v>246</v>
      </c>
      <c r="D8" s="1" t="s">
        <v>247</v>
      </c>
      <c r="E8" s="1" t="s">
        <v>248</v>
      </c>
      <c r="F8" s="1" t="s">
        <v>249</v>
      </c>
      <c r="G8" s="1" t="s">
        <v>250</v>
      </c>
      <c r="H8" s="1" t="s">
        <v>214</v>
      </c>
      <c r="I8" s="2">
        <v>4</v>
      </c>
      <c r="J8" s="2">
        <v>3</v>
      </c>
      <c r="K8" s="1" t="s">
        <v>251</v>
      </c>
      <c r="L8" s="1" t="s">
        <v>252</v>
      </c>
    </row>
    <row r="9" spans="1:12" ht="28.5">
      <c r="A9" s="1" t="s">
        <v>253</v>
      </c>
      <c r="B9" s="1" t="s">
        <v>254</v>
      </c>
      <c r="C9" s="1" t="s">
        <v>255</v>
      </c>
      <c r="D9" s="1" t="s">
        <v>256</v>
      </c>
      <c r="E9" s="1" t="s">
        <v>257</v>
      </c>
      <c r="F9" s="1" t="s">
        <v>239</v>
      </c>
      <c r="G9" s="1" t="s">
        <v>517</v>
      </c>
      <c r="H9" s="1" t="s">
        <v>241</v>
      </c>
      <c r="I9" s="2">
        <v>2</v>
      </c>
      <c r="J9" s="2">
        <v>4</v>
      </c>
      <c r="K9" s="1" t="s">
        <v>258</v>
      </c>
      <c r="L9" s="1" t="s">
        <v>259</v>
      </c>
    </row>
  </sheetData>
  <dataValidations count="1">
    <dataValidation type="whole" sqref="I2:J9" xr:uid="{00000000-0002-0000-0100-000001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Справочники!$A$2:$A$10</xm:f>
          </x14:formula1>
          <xm:sqref>B2:B9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1"/>
  <sheetViews>
    <sheetView workbookViewId="0"/>
  </sheetViews>
  <sheetFormatPr defaultRowHeight="14.25"/>
  <cols>
    <col min="1" max="1" width="10" customWidth="1"/>
    <col min="2" max="2" width="20" customWidth="1"/>
    <col min="3" max="3" width="38.625" customWidth="1"/>
    <col min="4" max="4" width="26.625" customWidth="1"/>
    <col min="5" max="5" width="28" customWidth="1"/>
    <col min="6" max="6" width="28.625" customWidth="1"/>
    <col min="7" max="7" width="37.625" customWidth="1"/>
    <col min="8" max="8" width="36.625" customWidth="1"/>
    <col min="9" max="9" width="25.625" customWidth="1"/>
    <col min="10" max="10" width="31.625" customWidth="1"/>
    <col min="11" max="11" width="20.625" customWidth="1"/>
    <col min="12" max="12" width="23.625" customWidth="1"/>
    <col min="13" max="13" width="25.625" customWidth="1"/>
    <col min="14" max="14" width="26.625" customWidth="1"/>
    <col min="15" max="15" width="21.625" customWidth="1"/>
    <col min="16" max="16" width="39.625" customWidth="1"/>
    <col min="17" max="17" width="20.625" customWidth="1"/>
    <col min="18" max="18" width="24.625" customWidth="1"/>
    <col min="19" max="19" width="25.625" customWidth="1"/>
    <col min="20" max="20" width="46.625" customWidth="1"/>
    <col min="21" max="21" width="55.625" customWidth="1"/>
  </cols>
  <sheetData>
    <row r="1" spans="1:21" ht="30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0" t="s">
        <v>44</v>
      </c>
      <c r="M1" s="10" t="s">
        <v>45</v>
      </c>
      <c r="N1" s="10" t="s">
        <v>46</v>
      </c>
      <c r="O1" s="10" t="s">
        <v>47</v>
      </c>
      <c r="P1" s="10" t="s">
        <v>48</v>
      </c>
      <c r="Q1" s="10" t="s">
        <v>49</v>
      </c>
      <c r="R1" s="10" t="s">
        <v>50</v>
      </c>
      <c r="S1" s="10" t="s">
        <v>51</v>
      </c>
      <c r="T1" s="10" t="s">
        <v>52</v>
      </c>
      <c r="U1" s="10" t="s">
        <v>53</v>
      </c>
    </row>
    <row r="2" spans="1:21" ht="28.5">
      <c r="A2" s="1" t="s">
        <v>54</v>
      </c>
      <c r="B2" s="1" t="s">
        <v>57</v>
      </c>
      <c r="C2" s="1" t="s">
        <v>260</v>
      </c>
      <c r="D2" s="1" t="s">
        <v>261</v>
      </c>
      <c r="E2" s="1" t="s">
        <v>262</v>
      </c>
      <c r="F2" s="1" t="s">
        <v>77</v>
      </c>
      <c r="G2" s="1">
        <v>4</v>
      </c>
      <c r="H2" s="1">
        <v>3</v>
      </c>
      <c r="I2" s="1">
        <v>2</v>
      </c>
      <c r="J2" s="1">
        <v>4</v>
      </c>
      <c r="K2" s="1">
        <v>4</v>
      </c>
      <c r="L2" s="1">
        <v>5</v>
      </c>
      <c r="M2" s="1">
        <v>5</v>
      </c>
      <c r="N2" s="1">
        <v>5</v>
      </c>
      <c r="O2" s="1">
        <v>1</v>
      </c>
      <c r="P2" s="1">
        <v>3</v>
      </c>
      <c r="Q2" s="3">
        <f t="shared" ref="Q2:Q33" si="0">ROUND((G2*0.18)+(H2*0.15)+(I2*0.12)+(J2*0.08)+(K2*0.13)+(L2*0.1)+(M2*0.12)+(N2*0.12)-(O2*0.07)+(P2*0.1),2)</f>
        <v>4.18</v>
      </c>
      <c r="R2" s="3">
        <f t="shared" ref="R2:R33" si="1">ROUND((I2*0.16)+(J2*0.2)+(K2*0.12)+(L2*0.1)+((6-M2)*0.08)+((6-N2)*0.08)+(O2*0.06)+(P2*0.14)+(G2*0.06),2)</f>
        <v>2.98</v>
      </c>
      <c r="S2" s="3" t="str">
        <f t="shared" ref="S2:S33" si="2">IF(A2="","",IF(AND(G2&gt;=4,H2&gt;=4,K2&gt;=3,P2&gt;=4),"Первый релиз",IF(Q2&gt;=3.7,"Первый релиз",IF(R2&gt;=3.6,"Следующий релиз","Не включать / проверить"))))</f>
        <v>Первый релиз</v>
      </c>
      <c r="T2" s="3" t="str">
        <f t="shared" ref="T2:T33" si="3">IF(A2="","",IF(S2="Первый релиз","Включить в минимальный рыночный выпуск",IF(S2="Следующий релиз","Запланировать после проверки первого релиза","Оставить как гипотезу / проверить позже")))</f>
        <v>Включить в минимальный рыночный выпуск</v>
      </c>
      <c r="U2" s="1" t="s">
        <v>519</v>
      </c>
    </row>
    <row r="3" spans="1:21" ht="28.5">
      <c r="A3" s="1" t="s">
        <v>56</v>
      </c>
      <c r="B3" s="1" t="s">
        <v>57</v>
      </c>
      <c r="C3" s="1" t="s">
        <v>263</v>
      </c>
      <c r="D3" s="1" t="s">
        <v>261</v>
      </c>
      <c r="E3" s="1" t="s">
        <v>264</v>
      </c>
      <c r="F3" s="1" t="s">
        <v>265</v>
      </c>
      <c r="G3" s="1">
        <v>5</v>
      </c>
      <c r="H3" s="1">
        <v>3</v>
      </c>
      <c r="I3" s="1">
        <v>2</v>
      </c>
      <c r="J3" s="1">
        <v>4</v>
      </c>
      <c r="K3" s="1">
        <v>4</v>
      </c>
      <c r="L3" s="1">
        <v>4</v>
      </c>
      <c r="M3" s="1">
        <v>4</v>
      </c>
      <c r="N3" s="1">
        <v>4</v>
      </c>
      <c r="O3" s="1">
        <v>1</v>
      </c>
      <c r="P3" s="1">
        <v>4</v>
      </c>
      <c r="Q3" s="3">
        <f t="shared" si="0"/>
        <v>4.12</v>
      </c>
      <c r="R3" s="3">
        <f t="shared" si="1"/>
        <v>3.24</v>
      </c>
      <c r="S3" s="3" t="str">
        <f t="shared" si="2"/>
        <v>Первый релиз</v>
      </c>
      <c r="T3" s="3" t="str">
        <f t="shared" si="3"/>
        <v>Включить в минимальный рыночный выпуск</v>
      </c>
      <c r="U3" s="1" t="s">
        <v>266</v>
      </c>
    </row>
    <row r="4" spans="1:21">
      <c r="A4" s="1" t="s">
        <v>59</v>
      </c>
      <c r="B4" s="1" t="s">
        <v>57</v>
      </c>
      <c r="C4" s="1" t="s">
        <v>267</v>
      </c>
      <c r="D4" s="1" t="s">
        <v>268</v>
      </c>
      <c r="E4" s="1" t="s">
        <v>264</v>
      </c>
      <c r="F4" s="1" t="s">
        <v>58</v>
      </c>
      <c r="G4" s="1">
        <v>4</v>
      </c>
      <c r="H4" s="1">
        <v>5</v>
      </c>
      <c r="I4" s="1">
        <v>3</v>
      </c>
      <c r="J4" s="1">
        <v>3</v>
      </c>
      <c r="K4" s="1">
        <v>4</v>
      </c>
      <c r="L4" s="1">
        <v>5</v>
      </c>
      <c r="M4" s="1">
        <v>5</v>
      </c>
      <c r="N4" s="1">
        <v>5</v>
      </c>
      <c r="O4" s="1">
        <v>1</v>
      </c>
      <c r="P4" s="1">
        <v>4</v>
      </c>
      <c r="Q4" s="3">
        <f t="shared" si="0"/>
        <v>4.62</v>
      </c>
      <c r="R4" s="3">
        <f t="shared" si="1"/>
        <v>3.08</v>
      </c>
      <c r="S4" s="3" t="str">
        <f t="shared" si="2"/>
        <v>Первый релиз</v>
      </c>
      <c r="T4" s="3" t="str">
        <f t="shared" si="3"/>
        <v>Включить в минимальный рыночный выпуск</v>
      </c>
      <c r="U4" s="1" t="s">
        <v>269</v>
      </c>
    </row>
    <row r="5" spans="1:21">
      <c r="A5" s="1" t="s">
        <v>61</v>
      </c>
      <c r="B5" s="1" t="s">
        <v>57</v>
      </c>
      <c r="C5" s="1" t="s">
        <v>270</v>
      </c>
      <c r="D5" s="1" t="s">
        <v>271</v>
      </c>
      <c r="E5" s="1" t="s">
        <v>272</v>
      </c>
      <c r="F5" s="1" t="s">
        <v>75</v>
      </c>
      <c r="G5" s="1">
        <v>3</v>
      </c>
      <c r="H5" s="1">
        <v>2</v>
      </c>
      <c r="I5" s="1">
        <v>4</v>
      </c>
      <c r="J5" s="1">
        <v>3</v>
      </c>
      <c r="K5" s="1">
        <v>4</v>
      </c>
      <c r="L5" s="1">
        <v>4</v>
      </c>
      <c r="M5" s="1">
        <v>3</v>
      </c>
      <c r="N5" s="1">
        <v>3</v>
      </c>
      <c r="O5" s="1">
        <v>2</v>
      </c>
      <c r="P5" s="1">
        <v>3</v>
      </c>
      <c r="Q5" s="3">
        <f t="shared" si="0"/>
        <v>3.36</v>
      </c>
      <c r="R5" s="3">
        <f t="shared" si="1"/>
        <v>3.32</v>
      </c>
      <c r="S5" s="3" t="str">
        <f t="shared" si="2"/>
        <v>Не включать / проверить</v>
      </c>
      <c r="T5" s="3" t="str">
        <f t="shared" si="3"/>
        <v>Оставить как гипотезу / проверить позже</v>
      </c>
      <c r="U5" s="1" t="s">
        <v>273</v>
      </c>
    </row>
    <row r="6" spans="1:21">
      <c r="A6" s="1" t="s">
        <v>63</v>
      </c>
      <c r="B6" s="1" t="s">
        <v>57</v>
      </c>
      <c r="C6" s="1" t="s">
        <v>274</v>
      </c>
      <c r="D6" s="1" t="s">
        <v>24</v>
      </c>
      <c r="E6" s="1" t="s">
        <v>275</v>
      </c>
      <c r="F6" s="1" t="s">
        <v>77</v>
      </c>
      <c r="G6" s="1">
        <v>4</v>
      </c>
      <c r="H6" s="1">
        <v>4</v>
      </c>
      <c r="I6" s="1">
        <v>4</v>
      </c>
      <c r="J6" s="1">
        <v>3</v>
      </c>
      <c r="K6" s="1">
        <v>4</v>
      </c>
      <c r="L6" s="1">
        <v>5</v>
      </c>
      <c r="M6" s="1">
        <v>4</v>
      </c>
      <c r="N6" s="1">
        <v>4</v>
      </c>
      <c r="O6" s="1">
        <v>2</v>
      </c>
      <c r="P6" s="1">
        <v>5</v>
      </c>
      <c r="Q6" s="3">
        <f t="shared" si="0"/>
        <v>4.38</v>
      </c>
      <c r="R6" s="3">
        <f t="shared" si="1"/>
        <v>3.6</v>
      </c>
      <c r="S6" s="3" t="str">
        <f t="shared" si="2"/>
        <v>Первый релиз</v>
      </c>
      <c r="T6" s="3" t="str">
        <f t="shared" si="3"/>
        <v>Включить в минимальный рыночный выпуск</v>
      </c>
      <c r="U6" s="1" t="s">
        <v>276</v>
      </c>
    </row>
    <row r="7" spans="1:21">
      <c r="A7" s="1" t="s">
        <v>66</v>
      </c>
      <c r="B7" s="1" t="s">
        <v>57</v>
      </c>
      <c r="C7" s="1" t="s">
        <v>277</v>
      </c>
      <c r="D7" s="1" t="s">
        <v>278</v>
      </c>
      <c r="E7" s="1" t="s">
        <v>279</v>
      </c>
      <c r="F7" s="1" t="s">
        <v>58</v>
      </c>
      <c r="G7" s="1">
        <v>4</v>
      </c>
      <c r="H7" s="1">
        <v>5</v>
      </c>
      <c r="I7" s="1">
        <v>4</v>
      </c>
      <c r="J7" s="1">
        <v>2</v>
      </c>
      <c r="K7" s="1">
        <v>3</v>
      </c>
      <c r="L7" s="1">
        <v>5</v>
      </c>
      <c r="M7" s="1">
        <v>3</v>
      </c>
      <c r="N7" s="1">
        <v>3</v>
      </c>
      <c r="O7" s="1">
        <v>4</v>
      </c>
      <c r="P7" s="1">
        <v>4</v>
      </c>
      <c r="Q7" s="3">
        <f t="shared" si="0"/>
        <v>3.84</v>
      </c>
      <c r="R7" s="3">
        <f t="shared" si="1"/>
        <v>3.42</v>
      </c>
      <c r="S7" s="3" t="str">
        <f t="shared" si="2"/>
        <v>Первый релиз</v>
      </c>
      <c r="T7" s="3" t="str">
        <f t="shared" si="3"/>
        <v>Включить в минимальный рыночный выпуск</v>
      </c>
      <c r="U7" s="1" t="s">
        <v>280</v>
      </c>
    </row>
    <row r="8" spans="1:21">
      <c r="A8" s="1" t="s">
        <v>69</v>
      </c>
      <c r="B8" s="1" t="s">
        <v>55</v>
      </c>
      <c r="C8" s="1" t="s">
        <v>281</v>
      </c>
      <c r="D8" s="1" t="s">
        <v>24</v>
      </c>
      <c r="E8" s="1" t="s">
        <v>282</v>
      </c>
      <c r="F8" s="1" t="s">
        <v>265</v>
      </c>
      <c r="G8" s="1">
        <v>5</v>
      </c>
      <c r="H8" s="1">
        <v>3</v>
      </c>
      <c r="I8" s="1">
        <v>3</v>
      </c>
      <c r="J8" s="1">
        <v>3</v>
      </c>
      <c r="K8" s="1">
        <v>4</v>
      </c>
      <c r="L8" s="1">
        <v>5</v>
      </c>
      <c r="M8" s="1">
        <v>5</v>
      </c>
      <c r="N8" s="1">
        <v>5</v>
      </c>
      <c r="O8" s="1">
        <v>1</v>
      </c>
      <c r="P8" s="1">
        <v>5</v>
      </c>
      <c r="Q8" s="3">
        <f t="shared" si="0"/>
        <v>4.5999999999999996</v>
      </c>
      <c r="R8" s="3">
        <f t="shared" si="1"/>
        <v>3.28</v>
      </c>
      <c r="S8" s="3" t="str">
        <f t="shared" si="2"/>
        <v>Первый релиз</v>
      </c>
      <c r="T8" s="3" t="str">
        <f t="shared" si="3"/>
        <v>Включить в минимальный рыночный выпуск</v>
      </c>
      <c r="U8" s="1" t="s">
        <v>283</v>
      </c>
    </row>
    <row r="9" spans="1:21">
      <c r="A9" s="1" t="s">
        <v>71</v>
      </c>
      <c r="B9" s="1" t="s">
        <v>55</v>
      </c>
      <c r="C9" s="1" t="s">
        <v>284</v>
      </c>
      <c r="D9" s="1" t="s">
        <v>24</v>
      </c>
      <c r="E9" s="1" t="s">
        <v>285</v>
      </c>
      <c r="F9" s="1" t="s">
        <v>265</v>
      </c>
      <c r="G9" s="1">
        <v>5</v>
      </c>
      <c r="H9" s="1">
        <v>4</v>
      </c>
      <c r="I9" s="1">
        <v>5</v>
      </c>
      <c r="J9" s="1">
        <v>4</v>
      </c>
      <c r="K9" s="1">
        <v>4</v>
      </c>
      <c r="L9" s="1">
        <v>5</v>
      </c>
      <c r="M9" s="1">
        <v>2</v>
      </c>
      <c r="N9" s="1">
        <v>2</v>
      </c>
      <c r="O9" s="1">
        <v>4</v>
      </c>
      <c r="P9" s="1">
        <v>5</v>
      </c>
      <c r="Q9" s="3">
        <f t="shared" si="0"/>
        <v>4.1399999999999997</v>
      </c>
      <c r="R9" s="3">
        <f t="shared" si="1"/>
        <v>4.46</v>
      </c>
      <c r="S9" s="3" t="str">
        <f t="shared" si="2"/>
        <v>Первый релиз</v>
      </c>
      <c r="T9" s="3" t="str">
        <f t="shared" si="3"/>
        <v>Включить в минимальный рыночный выпуск</v>
      </c>
      <c r="U9" s="1" t="s">
        <v>286</v>
      </c>
    </row>
    <row r="10" spans="1:21">
      <c r="A10" s="1" t="s">
        <v>74</v>
      </c>
      <c r="B10" s="1" t="s">
        <v>55</v>
      </c>
      <c r="C10" s="1" t="s">
        <v>287</v>
      </c>
      <c r="D10" s="1" t="s">
        <v>24</v>
      </c>
      <c r="E10" s="1" t="s">
        <v>288</v>
      </c>
      <c r="F10" s="1" t="s">
        <v>265</v>
      </c>
      <c r="G10" s="1">
        <v>5</v>
      </c>
      <c r="H10" s="1">
        <v>4</v>
      </c>
      <c r="I10" s="1">
        <v>3</v>
      </c>
      <c r="J10" s="1">
        <v>4</v>
      </c>
      <c r="K10" s="1">
        <v>5</v>
      </c>
      <c r="L10" s="1">
        <v>5</v>
      </c>
      <c r="M10" s="1">
        <v>4</v>
      </c>
      <c r="N10" s="1">
        <v>4</v>
      </c>
      <c r="O10" s="1">
        <v>2</v>
      </c>
      <c r="P10" s="1">
        <v>5</v>
      </c>
      <c r="Q10" s="3">
        <f t="shared" si="0"/>
        <v>4.6500000000000004</v>
      </c>
      <c r="R10" s="3">
        <f t="shared" si="1"/>
        <v>3.82</v>
      </c>
      <c r="S10" s="3" t="str">
        <f t="shared" si="2"/>
        <v>Первый релиз</v>
      </c>
      <c r="T10" s="3" t="str">
        <f t="shared" si="3"/>
        <v>Включить в минимальный рыночный выпуск</v>
      </c>
      <c r="U10" s="1" t="s">
        <v>289</v>
      </c>
    </row>
    <row r="11" spans="1:21">
      <c r="A11" s="1" t="s">
        <v>76</v>
      </c>
      <c r="B11" s="1" t="s">
        <v>55</v>
      </c>
      <c r="C11" s="1" t="s">
        <v>290</v>
      </c>
      <c r="D11" s="1" t="s">
        <v>271</v>
      </c>
      <c r="E11" s="1" t="s">
        <v>291</v>
      </c>
      <c r="F11" s="1" t="s">
        <v>75</v>
      </c>
      <c r="G11" s="1">
        <v>4</v>
      </c>
      <c r="H11" s="1">
        <v>2</v>
      </c>
      <c r="I11" s="1">
        <v>5</v>
      </c>
      <c r="J11" s="1">
        <v>2</v>
      </c>
      <c r="K11" s="1">
        <v>3</v>
      </c>
      <c r="L11" s="1">
        <v>4</v>
      </c>
      <c r="M11" s="1">
        <v>3</v>
      </c>
      <c r="N11" s="1">
        <v>3</v>
      </c>
      <c r="O11" s="1">
        <v>3</v>
      </c>
      <c r="P11" s="1">
        <v>3</v>
      </c>
      <c r="Q11" s="3">
        <f t="shared" si="0"/>
        <v>3.38</v>
      </c>
      <c r="R11" s="3">
        <f t="shared" si="1"/>
        <v>3.28</v>
      </c>
      <c r="S11" s="3" t="str">
        <f t="shared" si="2"/>
        <v>Не включать / проверить</v>
      </c>
      <c r="T11" s="3" t="str">
        <f t="shared" si="3"/>
        <v>Оставить как гипотезу / проверить позже</v>
      </c>
      <c r="U11" s="1" t="s">
        <v>292</v>
      </c>
    </row>
    <row r="12" spans="1:21">
      <c r="A12" s="1" t="s">
        <v>293</v>
      </c>
      <c r="B12" s="1" t="s">
        <v>55</v>
      </c>
      <c r="C12" s="1" t="s">
        <v>294</v>
      </c>
      <c r="D12" s="1" t="s">
        <v>24</v>
      </c>
      <c r="E12" s="1" t="s">
        <v>295</v>
      </c>
      <c r="F12" s="1" t="s">
        <v>75</v>
      </c>
      <c r="G12" s="1">
        <v>4</v>
      </c>
      <c r="H12" s="1">
        <v>2</v>
      </c>
      <c r="I12" s="1">
        <v>4</v>
      </c>
      <c r="J12" s="1">
        <v>3</v>
      </c>
      <c r="K12" s="1">
        <v>2</v>
      </c>
      <c r="L12" s="1">
        <v>2</v>
      </c>
      <c r="M12" s="1">
        <v>2</v>
      </c>
      <c r="N12" s="1">
        <v>2</v>
      </c>
      <c r="O12" s="1">
        <v>4</v>
      </c>
      <c r="P12" s="1">
        <v>3</v>
      </c>
      <c r="Q12" s="3">
        <f t="shared" si="0"/>
        <v>2.7</v>
      </c>
      <c r="R12" s="3">
        <f t="shared" si="1"/>
        <v>3.22</v>
      </c>
      <c r="S12" s="3" t="str">
        <f t="shared" si="2"/>
        <v>Не включать / проверить</v>
      </c>
      <c r="T12" s="3" t="str">
        <f t="shared" si="3"/>
        <v>Оставить как гипотезу / проверить позже</v>
      </c>
      <c r="U12" s="1" t="s">
        <v>296</v>
      </c>
    </row>
    <row r="13" spans="1:21">
      <c r="A13" s="1" t="s">
        <v>297</v>
      </c>
      <c r="B13" s="1" t="s">
        <v>55</v>
      </c>
      <c r="C13" s="1" t="s">
        <v>298</v>
      </c>
      <c r="D13" s="1" t="s">
        <v>278</v>
      </c>
      <c r="E13" s="1" t="s">
        <v>279</v>
      </c>
      <c r="F13" s="1" t="s">
        <v>58</v>
      </c>
      <c r="G13" s="1">
        <v>3</v>
      </c>
      <c r="H13" s="1">
        <v>4</v>
      </c>
      <c r="I13" s="1">
        <v>4</v>
      </c>
      <c r="J13" s="1">
        <v>2</v>
      </c>
      <c r="K13" s="1">
        <v>3</v>
      </c>
      <c r="L13" s="1">
        <v>4</v>
      </c>
      <c r="M13" s="1">
        <v>4</v>
      </c>
      <c r="N13" s="1">
        <v>4</v>
      </c>
      <c r="O13" s="1">
        <v>2</v>
      </c>
      <c r="P13" s="1">
        <v>3</v>
      </c>
      <c r="Q13" s="3">
        <f t="shared" si="0"/>
        <v>3.69</v>
      </c>
      <c r="R13" s="3">
        <f t="shared" si="1"/>
        <v>2.84</v>
      </c>
      <c r="S13" s="3" t="str">
        <f t="shared" si="2"/>
        <v>Не включать / проверить</v>
      </c>
      <c r="T13" s="3" t="str">
        <f t="shared" si="3"/>
        <v>Оставить как гипотезу / проверить позже</v>
      </c>
      <c r="U13" s="1" t="s">
        <v>299</v>
      </c>
    </row>
    <row r="14" spans="1:21" ht="28.5">
      <c r="A14" s="1" t="s">
        <v>252</v>
      </c>
      <c r="B14" s="1" t="s">
        <v>55</v>
      </c>
      <c r="C14" s="1" t="s">
        <v>300</v>
      </c>
      <c r="D14" s="1" t="s">
        <v>24</v>
      </c>
      <c r="E14" s="1" t="s">
        <v>285</v>
      </c>
      <c r="F14" s="1" t="s">
        <v>265</v>
      </c>
      <c r="G14" s="1">
        <v>4</v>
      </c>
      <c r="H14" s="1">
        <v>4</v>
      </c>
      <c r="I14" s="1">
        <v>3</v>
      </c>
      <c r="J14" s="1">
        <v>4</v>
      </c>
      <c r="K14" s="1">
        <v>3</v>
      </c>
      <c r="L14" s="1">
        <v>3</v>
      </c>
      <c r="M14" s="1">
        <v>2</v>
      </c>
      <c r="N14" s="1">
        <v>2</v>
      </c>
      <c r="O14" s="1">
        <v>5</v>
      </c>
      <c r="P14" s="1">
        <v>3</v>
      </c>
      <c r="Q14" s="3">
        <f t="shared" si="0"/>
        <v>3.12</v>
      </c>
      <c r="R14" s="3">
        <f t="shared" si="1"/>
        <v>3.54</v>
      </c>
      <c r="S14" s="3" t="str">
        <f t="shared" si="2"/>
        <v>Не включать / проверить</v>
      </c>
      <c r="T14" s="3" t="str">
        <f t="shared" si="3"/>
        <v>Оставить как гипотезу / проверить позже</v>
      </c>
      <c r="U14" s="1" t="s">
        <v>301</v>
      </c>
    </row>
    <row r="15" spans="1:21" ht="28.5">
      <c r="A15" s="1" t="s">
        <v>302</v>
      </c>
      <c r="B15" s="1" t="s">
        <v>60</v>
      </c>
      <c r="C15" s="1" t="s">
        <v>303</v>
      </c>
      <c r="D15" s="1" t="s">
        <v>304</v>
      </c>
      <c r="E15" s="1" t="s">
        <v>262</v>
      </c>
      <c r="F15" s="1" t="s">
        <v>73</v>
      </c>
      <c r="G15" s="1">
        <v>4</v>
      </c>
      <c r="H15" s="1">
        <v>4</v>
      </c>
      <c r="I15" s="1">
        <v>4</v>
      </c>
      <c r="J15" s="1">
        <v>3</v>
      </c>
      <c r="K15" s="1">
        <v>4</v>
      </c>
      <c r="L15" s="1">
        <v>4</v>
      </c>
      <c r="M15" s="1">
        <v>4</v>
      </c>
      <c r="N15" s="1">
        <v>4</v>
      </c>
      <c r="O15" s="1">
        <v>2</v>
      </c>
      <c r="P15" s="1">
        <v>5</v>
      </c>
      <c r="Q15" s="3">
        <f t="shared" si="0"/>
        <v>4.28</v>
      </c>
      <c r="R15" s="3">
        <f t="shared" si="1"/>
        <v>3.5</v>
      </c>
      <c r="S15" s="3" t="str">
        <f t="shared" si="2"/>
        <v>Первый релиз</v>
      </c>
      <c r="T15" s="3" t="str">
        <f t="shared" si="3"/>
        <v>Включить в минимальный рыночный выпуск</v>
      </c>
      <c r="U15" s="1" t="s">
        <v>305</v>
      </c>
    </row>
    <row r="16" spans="1:21" ht="28.5">
      <c r="A16" s="1" t="s">
        <v>306</v>
      </c>
      <c r="B16" s="1" t="s">
        <v>57</v>
      </c>
      <c r="C16" s="1" t="s">
        <v>307</v>
      </c>
      <c r="D16" s="1" t="s">
        <v>261</v>
      </c>
      <c r="E16" s="1" t="s">
        <v>275</v>
      </c>
      <c r="F16" s="1" t="s">
        <v>73</v>
      </c>
      <c r="G16" s="1">
        <v>4</v>
      </c>
      <c r="H16" s="1">
        <v>3</v>
      </c>
      <c r="I16" s="1">
        <v>2</v>
      </c>
      <c r="J16" s="1">
        <v>2</v>
      </c>
      <c r="K16" s="1">
        <v>4</v>
      </c>
      <c r="L16" s="1">
        <v>5</v>
      </c>
      <c r="M16" s="1">
        <v>5</v>
      </c>
      <c r="N16" s="1">
        <v>5</v>
      </c>
      <c r="O16" s="1">
        <v>1</v>
      </c>
      <c r="P16" s="1">
        <v>5</v>
      </c>
      <c r="Q16" s="3">
        <f t="shared" si="0"/>
        <v>4.22</v>
      </c>
      <c r="R16" s="3">
        <f t="shared" si="1"/>
        <v>2.86</v>
      </c>
      <c r="S16" s="3" t="str">
        <f t="shared" si="2"/>
        <v>Первый релиз</v>
      </c>
      <c r="T16" s="3" t="str">
        <f t="shared" si="3"/>
        <v>Включить в минимальный рыночный выпуск</v>
      </c>
      <c r="U16" s="1" t="s">
        <v>308</v>
      </c>
    </row>
    <row r="17" spans="1:21">
      <c r="A17" s="1" t="s">
        <v>309</v>
      </c>
      <c r="B17" s="1" t="s">
        <v>60</v>
      </c>
      <c r="C17" s="1" t="s">
        <v>310</v>
      </c>
      <c r="D17" s="1" t="s">
        <v>24</v>
      </c>
      <c r="E17" s="1" t="s">
        <v>295</v>
      </c>
      <c r="F17" s="1" t="s">
        <v>75</v>
      </c>
      <c r="G17" s="1">
        <v>3</v>
      </c>
      <c r="H17" s="1">
        <v>2</v>
      </c>
      <c r="I17" s="1">
        <v>4</v>
      </c>
      <c r="J17" s="1">
        <v>3</v>
      </c>
      <c r="K17" s="1">
        <v>3</v>
      </c>
      <c r="L17" s="1">
        <v>4</v>
      </c>
      <c r="M17" s="1">
        <v>4</v>
      </c>
      <c r="N17" s="1">
        <v>4</v>
      </c>
      <c r="O17" s="1">
        <v>1</v>
      </c>
      <c r="P17" s="1">
        <v>4</v>
      </c>
      <c r="Q17" s="3">
        <f t="shared" si="0"/>
        <v>3.64</v>
      </c>
      <c r="R17" s="3">
        <f t="shared" si="1"/>
        <v>3.12</v>
      </c>
      <c r="S17" s="3" t="str">
        <f t="shared" si="2"/>
        <v>Не включать / проверить</v>
      </c>
      <c r="T17" s="3" t="str">
        <f t="shared" si="3"/>
        <v>Оставить как гипотезу / проверить позже</v>
      </c>
      <c r="U17" s="1" t="s">
        <v>311</v>
      </c>
    </row>
    <row r="18" spans="1:21">
      <c r="A18" s="1" t="s">
        <v>259</v>
      </c>
      <c r="B18" s="1" t="s">
        <v>60</v>
      </c>
      <c r="C18" s="1" t="s">
        <v>312</v>
      </c>
      <c r="D18" s="1" t="s">
        <v>313</v>
      </c>
      <c r="E18" s="1" t="s">
        <v>314</v>
      </c>
      <c r="F18" s="1" t="s">
        <v>58</v>
      </c>
      <c r="G18" s="1">
        <v>4</v>
      </c>
      <c r="H18" s="1">
        <v>3</v>
      </c>
      <c r="I18" s="1">
        <v>4</v>
      </c>
      <c r="J18" s="1">
        <v>5</v>
      </c>
      <c r="K18" s="1">
        <v>3</v>
      </c>
      <c r="L18" s="1">
        <v>3</v>
      </c>
      <c r="M18" s="1">
        <v>1</v>
      </c>
      <c r="N18" s="1">
        <v>1</v>
      </c>
      <c r="O18" s="1">
        <v>5</v>
      </c>
      <c r="P18" s="1">
        <v>2</v>
      </c>
      <c r="Q18" s="3">
        <f t="shared" si="0"/>
        <v>2.83</v>
      </c>
      <c r="R18" s="3">
        <f t="shared" si="1"/>
        <v>3.92</v>
      </c>
      <c r="S18" s="3" t="str">
        <f t="shared" si="2"/>
        <v>Следующий релиз</v>
      </c>
      <c r="T18" s="3" t="str">
        <f t="shared" si="3"/>
        <v>Запланировать после проверки первого релиза</v>
      </c>
      <c r="U18" s="1" t="s">
        <v>315</v>
      </c>
    </row>
    <row r="19" spans="1:21">
      <c r="A19" s="1" t="s">
        <v>243</v>
      </c>
      <c r="B19" s="1" t="s">
        <v>60</v>
      </c>
      <c r="C19" s="1" t="s">
        <v>316</v>
      </c>
      <c r="D19" s="1" t="s">
        <v>271</v>
      </c>
      <c r="E19" s="1" t="s">
        <v>317</v>
      </c>
      <c r="F19" s="1" t="s">
        <v>77</v>
      </c>
      <c r="G19" s="1">
        <v>2</v>
      </c>
      <c r="H19" s="1">
        <v>1</v>
      </c>
      <c r="I19" s="1">
        <v>2</v>
      </c>
      <c r="J19" s="1">
        <v>5</v>
      </c>
      <c r="K19" s="1">
        <v>2</v>
      </c>
      <c r="L19" s="1">
        <v>2</v>
      </c>
      <c r="M19" s="1">
        <v>3</v>
      </c>
      <c r="N19" s="1">
        <v>3</v>
      </c>
      <c r="O19" s="1">
        <v>2</v>
      </c>
      <c r="P19" s="1">
        <v>1</v>
      </c>
      <c r="Q19" s="3">
        <f t="shared" si="0"/>
        <v>2.29</v>
      </c>
      <c r="R19" s="3">
        <f t="shared" si="1"/>
        <v>2.62</v>
      </c>
      <c r="S19" s="3" t="str">
        <f t="shared" si="2"/>
        <v>Не включать / проверить</v>
      </c>
      <c r="T19" s="3" t="str">
        <f t="shared" si="3"/>
        <v>Оставить как гипотезу / проверить позже</v>
      </c>
      <c r="U19" s="1" t="s">
        <v>318</v>
      </c>
    </row>
    <row r="20" spans="1:21">
      <c r="A20" s="1" t="s">
        <v>319</v>
      </c>
      <c r="B20" s="1" t="s">
        <v>60</v>
      </c>
      <c r="C20" s="1" t="s">
        <v>320</v>
      </c>
      <c r="D20" s="1" t="s">
        <v>278</v>
      </c>
      <c r="E20" s="1" t="s">
        <v>314</v>
      </c>
      <c r="F20" s="1" t="s">
        <v>65</v>
      </c>
      <c r="G20" s="1">
        <v>3</v>
      </c>
      <c r="H20" s="1">
        <v>3</v>
      </c>
      <c r="I20" s="1">
        <v>3</v>
      </c>
      <c r="J20" s="1">
        <v>4</v>
      </c>
      <c r="K20" s="1">
        <v>2</v>
      </c>
      <c r="L20" s="1">
        <v>3</v>
      </c>
      <c r="M20" s="1">
        <v>1</v>
      </c>
      <c r="N20" s="1">
        <v>1</v>
      </c>
      <c r="O20" s="1">
        <v>5</v>
      </c>
      <c r="P20" s="1">
        <v>2</v>
      </c>
      <c r="Q20" s="3">
        <f t="shared" si="0"/>
        <v>2.3199999999999998</v>
      </c>
      <c r="R20" s="3">
        <f t="shared" si="1"/>
        <v>3.38</v>
      </c>
      <c r="S20" s="3" t="str">
        <f t="shared" si="2"/>
        <v>Не включать / проверить</v>
      </c>
      <c r="T20" s="3" t="str">
        <f t="shared" si="3"/>
        <v>Оставить как гипотезу / проверить позже</v>
      </c>
      <c r="U20" s="1" t="s">
        <v>321</v>
      </c>
    </row>
    <row r="21" spans="1:21">
      <c r="A21" s="1" t="s">
        <v>322</v>
      </c>
      <c r="B21" s="1" t="s">
        <v>60</v>
      </c>
      <c r="C21" s="1" t="s">
        <v>323</v>
      </c>
      <c r="D21" s="1" t="s">
        <v>313</v>
      </c>
      <c r="E21" s="1" t="s">
        <v>314</v>
      </c>
      <c r="F21" s="1" t="s">
        <v>58</v>
      </c>
      <c r="G21" s="1">
        <v>3</v>
      </c>
      <c r="H21" s="1">
        <v>4</v>
      </c>
      <c r="I21" s="1">
        <v>3</v>
      </c>
      <c r="J21" s="1">
        <v>3</v>
      </c>
      <c r="K21" s="1">
        <v>2</v>
      </c>
      <c r="L21" s="1">
        <v>3</v>
      </c>
      <c r="M21" s="1">
        <v>2</v>
      </c>
      <c r="N21" s="1">
        <v>2</v>
      </c>
      <c r="O21" s="1">
        <v>3</v>
      </c>
      <c r="P21" s="1">
        <v>2</v>
      </c>
      <c r="Q21" s="3">
        <f t="shared" si="0"/>
        <v>2.77</v>
      </c>
      <c r="R21" s="3">
        <f t="shared" si="1"/>
        <v>2.9</v>
      </c>
      <c r="S21" s="3" t="str">
        <f t="shared" si="2"/>
        <v>Не включать / проверить</v>
      </c>
      <c r="T21" s="3" t="str">
        <f t="shared" si="3"/>
        <v>Оставить как гипотезу / проверить позже</v>
      </c>
      <c r="U21" s="1" t="s">
        <v>324</v>
      </c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">
        <f t="shared" si="0"/>
        <v>0</v>
      </c>
      <c r="R22" s="3">
        <f t="shared" si="1"/>
        <v>0.96</v>
      </c>
      <c r="S22" s="3" t="str">
        <f t="shared" si="2"/>
        <v/>
      </c>
      <c r="T22" s="3" t="str">
        <f t="shared" si="3"/>
        <v/>
      </c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">
        <f t="shared" si="0"/>
        <v>0</v>
      </c>
      <c r="R23" s="3">
        <f t="shared" si="1"/>
        <v>0.96</v>
      </c>
      <c r="S23" s="3" t="str">
        <f t="shared" si="2"/>
        <v/>
      </c>
      <c r="T23" s="3" t="str">
        <f t="shared" si="3"/>
        <v/>
      </c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">
        <f t="shared" si="0"/>
        <v>0</v>
      </c>
      <c r="R24" s="3">
        <f t="shared" si="1"/>
        <v>0.96</v>
      </c>
      <c r="S24" s="3" t="str">
        <f t="shared" si="2"/>
        <v/>
      </c>
      <c r="T24" s="3" t="str">
        <f t="shared" si="3"/>
        <v/>
      </c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">
        <f t="shared" si="0"/>
        <v>0</v>
      </c>
      <c r="R25" s="3">
        <f t="shared" si="1"/>
        <v>0.96</v>
      </c>
      <c r="S25" s="3" t="str">
        <f t="shared" si="2"/>
        <v/>
      </c>
      <c r="T25" s="3" t="str">
        <f t="shared" si="3"/>
        <v/>
      </c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">
        <f t="shared" si="0"/>
        <v>0</v>
      </c>
      <c r="R26" s="3">
        <f t="shared" si="1"/>
        <v>0.96</v>
      </c>
      <c r="S26" s="3" t="str">
        <f t="shared" si="2"/>
        <v/>
      </c>
      <c r="T26" s="3" t="str">
        <f t="shared" si="3"/>
        <v/>
      </c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">
        <f t="shared" si="0"/>
        <v>0</v>
      </c>
      <c r="R27" s="3">
        <f t="shared" si="1"/>
        <v>0.96</v>
      </c>
      <c r="S27" s="3" t="str">
        <f t="shared" si="2"/>
        <v/>
      </c>
      <c r="T27" s="3" t="str">
        <f t="shared" si="3"/>
        <v/>
      </c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">
        <f t="shared" si="0"/>
        <v>0</v>
      </c>
      <c r="R28" s="3">
        <f t="shared" si="1"/>
        <v>0.96</v>
      </c>
      <c r="S28" s="3" t="str">
        <f t="shared" si="2"/>
        <v/>
      </c>
      <c r="T28" s="3" t="str">
        <f t="shared" si="3"/>
        <v/>
      </c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">
        <f t="shared" si="0"/>
        <v>0</v>
      </c>
      <c r="R29" s="3">
        <f t="shared" si="1"/>
        <v>0.96</v>
      </c>
      <c r="S29" s="3" t="str">
        <f t="shared" si="2"/>
        <v/>
      </c>
      <c r="T29" s="3" t="str">
        <f t="shared" si="3"/>
        <v/>
      </c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">
        <f t="shared" si="0"/>
        <v>0</v>
      </c>
      <c r="R30" s="3">
        <f t="shared" si="1"/>
        <v>0.96</v>
      </c>
      <c r="S30" s="3" t="str">
        <f t="shared" si="2"/>
        <v/>
      </c>
      <c r="T30" s="3" t="str">
        <f t="shared" si="3"/>
        <v/>
      </c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">
        <f t="shared" si="0"/>
        <v>0</v>
      </c>
      <c r="R31" s="3">
        <f t="shared" si="1"/>
        <v>0.96</v>
      </c>
      <c r="S31" s="3" t="str">
        <f t="shared" si="2"/>
        <v/>
      </c>
      <c r="T31" s="3" t="str">
        <f t="shared" si="3"/>
        <v/>
      </c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">
        <f t="shared" si="0"/>
        <v>0</v>
      </c>
      <c r="R32" s="3">
        <f t="shared" si="1"/>
        <v>0.96</v>
      </c>
      <c r="S32" s="3" t="str">
        <f t="shared" si="2"/>
        <v/>
      </c>
      <c r="T32" s="3" t="str">
        <f t="shared" si="3"/>
        <v/>
      </c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">
        <f t="shared" si="0"/>
        <v>0</v>
      </c>
      <c r="R33" s="3">
        <f t="shared" si="1"/>
        <v>0.96</v>
      </c>
      <c r="S33" s="3" t="str">
        <f t="shared" si="2"/>
        <v/>
      </c>
      <c r="T33" s="3" t="str">
        <f t="shared" si="3"/>
        <v/>
      </c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">
        <f t="shared" ref="Q34:Q65" si="4">ROUND((G34*0.18)+(H34*0.15)+(I34*0.12)+(J34*0.08)+(K34*0.13)+(L34*0.1)+(M34*0.12)+(N34*0.12)-(O34*0.07)+(P34*0.1),2)</f>
        <v>0</v>
      </c>
      <c r="R34" s="3">
        <f t="shared" ref="R34:R65" si="5">ROUND((I34*0.16)+(J34*0.2)+(K34*0.12)+(L34*0.1)+((6-M34)*0.08)+((6-N34)*0.08)+(O34*0.06)+(P34*0.14)+(G34*0.06),2)</f>
        <v>0.96</v>
      </c>
      <c r="S34" s="3" t="str">
        <f t="shared" ref="S34:S65" si="6">IF(A34="","",IF(AND(G34&gt;=4,H34&gt;=4,K34&gt;=3,P34&gt;=4),"Первый релиз",IF(Q34&gt;=3.7,"Первый релиз",IF(R34&gt;=3.6,"Следующий релиз","Не включать / проверить"))))</f>
        <v/>
      </c>
      <c r="T34" s="3" t="str">
        <f t="shared" ref="T34:T65" si="7">IF(A34="","",IF(S34="Первый релиз","Включить в минимальный рыночный выпуск",IF(S34="Следующий релиз","Запланировать после проверки первого релиза","Оставить как гипотезу / проверить позже")))</f>
        <v/>
      </c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">
        <f t="shared" si="4"/>
        <v>0</v>
      </c>
      <c r="R35" s="3">
        <f t="shared" si="5"/>
        <v>0.96</v>
      </c>
      <c r="S35" s="3" t="str">
        <f t="shared" si="6"/>
        <v/>
      </c>
      <c r="T35" s="3" t="str">
        <f t="shared" si="7"/>
        <v/>
      </c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">
        <f t="shared" si="4"/>
        <v>0</v>
      </c>
      <c r="R36" s="3">
        <f t="shared" si="5"/>
        <v>0.96</v>
      </c>
      <c r="S36" s="3" t="str">
        <f t="shared" si="6"/>
        <v/>
      </c>
      <c r="T36" s="3" t="str">
        <f t="shared" si="7"/>
        <v/>
      </c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">
        <f t="shared" si="4"/>
        <v>0</v>
      </c>
      <c r="R37" s="3">
        <f t="shared" si="5"/>
        <v>0.96</v>
      </c>
      <c r="S37" s="3" t="str">
        <f t="shared" si="6"/>
        <v/>
      </c>
      <c r="T37" s="3" t="str">
        <f t="shared" si="7"/>
        <v/>
      </c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">
        <f t="shared" si="4"/>
        <v>0</v>
      </c>
      <c r="R38" s="3">
        <f t="shared" si="5"/>
        <v>0.96</v>
      </c>
      <c r="S38" s="3" t="str">
        <f t="shared" si="6"/>
        <v/>
      </c>
      <c r="T38" s="3" t="str">
        <f t="shared" si="7"/>
        <v/>
      </c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">
        <f t="shared" si="4"/>
        <v>0</v>
      </c>
      <c r="R39" s="3">
        <f t="shared" si="5"/>
        <v>0.96</v>
      </c>
      <c r="S39" s="3" t="str">
        <f t="shared" si="6"/>
        <v/>
      </c>
      <c r="T39" s="3" t="str">
        <f t="shared" si="7"/>
        <v/>
      </c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">
        <f t="shared" si="4"/>
        <v>0</v>
      </c>
      <c r="R40" s="3">
        <f t="shared" si="5"/>
        <v>0.96</v>
      </c>
      <c r="S40" s="3" t="str">
        <f t="shared" si="6"/>
        <v/>
      </c>
      <c r="T40" s="3" t="str">
        <f t="shared" si="7"/>
        <v/>
      </c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">
        <f t="shared" si="4"/>
        <v>0</v>
      </c>
      <c r="R41" s="3">
        <f t="shared" si="5"/>
        <v>0.96</v>
      </c>
      <c r="S41" s="3" t="str">
        <f t="shared" si="6"/>
        <v/>
      </c>
      <c r="T41" s="3" t="str">
        <f t="shared" si="7"/>
        <v/>
      </c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>
        <f t="shared" si="4"/>
        <v>0</v>
      </c>
      <c r="R42" s="3">
        <f t="shared" si="5"/>
        <v>0.96</v>
      </c>
      <c r="S42" s="3" t="str">
        <f t="shared" si="6"/>
        <v/>
      </c>
      <c r="T42" s="3" t="str">
        <f t="shared" si="7"/>
        <v/>
      </c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">
        <f t="shared" si="4"/>
        <v>0</v>
      </c>
      <c r="R43" s="3">
        <f t="shared" si="5"/>
        <v>0.96</v>
      </c>
      <c r="S43" s="3" t="str">
        <f t="shared" si="6"/>
        <v/>
      </c>
      <c r="T43" s="3" t="str">
        <f t="shared" si="7"/>
        <v/>
      </c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">
        <f t="shared" si="4"/>
        <v>0</v>
      </c>
      <c r="R44" s="3">
        <f t="shared" si="5"/>
        <v>0.96</v>
      </c>
      <c r="S44" s="3" t="str">
        <f t="shared" si="6"/>
        <v/>
      </c>
      <c r="T44" s="3" t="str">
        <f t="shared" si="7"/>
        <v/>
      </c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">
        <f t="shared" si="4"/>
        <v>0</v>
      </c>
      <c r="R45" s="3">
        <f t="shared" si="5"/>
        <v>0.96</v>
      </c>
      <c r="S45" s="3" t="str">
        <f t="shared" si="6"/>
        <v/>
      </c>
      <c r="T45" s="3" t="str">
        <f t="shared" si="7"/>
        <v/>
      </c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">
        <f t="shared" si="4"/>
        <v>0</v>
      </c>
      <c r="R46" s="3">
        <f t="shared" si="5"/>
        <v>0.96</v>
      </c>
      <c r="S46" s="3" t="str">
        <f t="shared" si="6"/>
        <v/>
      </c>
      <c r="T46" s="3" t="str">
        <f t="shared" si="7"/>
        <v/>
      </c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">
        <f t="shared" si="4"/>
        <v>0</v>
      </c>
      <c r="R47" s="3">
        <f t="shared" si="5"/>
        <v>0.96</v>
      </c>
      <c r="S47" s="3" t="str">
        <f t="shared" si="6"/>
        <v/>
      </c>
      <c r="T47" s="3" t="str">
        <f t="shared" si="7"/>
        <v/>
      </c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">
        <f t="shared" si="4"/>
        <v>0</v>
      </c>
      <c r="R48" s="3">
        <f t="shared" si="5"/>
        <v>0.96</v>
      </c>
      <c r="S48" s="3" t="str">
        <f t="shared" si="6"/>
        <v/>
      </c>
      <c r="T48" s="3" t="str">
        <f t="shared" si="7"/>
        <v/>
      </c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">
        <f t="shared" si="4"/>
        <v>0</v>
      </c>
      <c r="R49" s="3">
        <f t="shared" si="5"/>
        <v>0.96</v>
      </c>
      <c r="S49" s="3" t="str">
        <f t="shared" si="6"/>
        <v/>
      </c>
      <c r="T49" s="3" t="str">
        <f t="shared" si="7"/>
        <v/>
      </c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">
        <f t="shared" si="4"/>
        <v>0</v>
      </c>
      <c r="R50" s="3">
        <f t="shared" si="5"/>
        <v>0.96</v>
      </c>
      <c r="S50" s="3" t="str">
        <f t="shared" si="6"/>
        <v/>
      </c>
      <c r="T50" s="3" t="str">
        <f t="shared" si="7"/>
        <v/>
      </c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">
        <f t="shared" si="4"/>
        <v>0</v>
      </c>
      <c r="R51" s="3">
        <f t="shared" si="5"/>
        <v>0.96</v>
      </c>
      <c r="S51" s="3" t="str">
        <f t="shared" si="6"/>
        <v/>
      </c>
      <c r="T51" s="3" t="str">
        <f t="shared" si="7"/>
        <v/>
      </c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">
        <f t="shared" si="4"/>
        <v>0</v>
      </c>
      <c r="R52" s="3">
        <f t="shared" si="5"/>
        <v>0.96</v>
      </c>
      <c r="S52" s="3" t="str">
        <f t="shared" si="6"/>
        <v/>
      </c>
      <c r="T52" s="3" t="str">
        <f t="shared" si="7"/>
        <v/>
      </c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">
        <f t="shared" si="4"/>
        <v>0</v>
      </c>
      <c r="R53" s="3">
        <f t="shared" si="5"/>
        <v>0.96</v>
      </c>
      <c r="S53" s="3" t="str">
        <f t="shared" si="6"/>
        <v/>
      </c>
      <c r="T53" s="3" t="str">
        <f t="shared" si="7"/>
        <v/>
      </c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">
        <f t="shared" si="4"/>
        <v>0</v>
      </c>
      <c r="R54" s="3">
        <f t="shared" si="5"/>
        <v>0.96</v>
      </c>
      <c r="S54" s="3" t="str">
        <f t="shared" si="6"/>
        <v/>
      </c>
      <c r="T54" s="3" t="str">
        <f t="shared" si="7"/>
        <v/>
      </c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">
        <f t="shared" si="4"/>
        <v>0</v>
      </c>
      <c r="R55" s="3">
        <f t="shared" si="5"/>
        <v>0.96</v>
      </c>
      <c r="S55" s="3" t="str">
        <f t="shared" si="6"/>
        <v/>
      </c>
      <c r="T55" s="3" t="str">
        <f t="shared" si="7"/>
        <v/>
      </c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">
        <f t="shared" si="4"/>
        <v>0</v>
      </c>
      <c r="R56" s="3">
        <f t="shared" si="5"/>
        <v>0.96</v>
      </c>
      <c r="S56" s="3" t="str">
        <f t="shared" si="6"/>
        <v/>
      </c>
      <c r="T56" s="3" t="str">
        <f t="shared" si="7"/>
        <v/>
      </c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">
        <f t="shared" si="4"/>
        <v>0</v>
      </c>
      <c r="R57" s="3">
        <f t="shared" si="5"/>
        <v>0.96</v>
      </c>
      <c r="S57" s="3" t="str">
        <f t="shared" si="6"/>
        <v/>
      </c>
      <c r="T57" s="3" t="str">
        <f t="shared" si="7"/>
        <v/>
      </c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">
        <f t="shared" si="4"/>
        <v>0</v>
      </c>
      <c r="R58" s="3">
        <f t="shared" si="5"/>
        <v>0.96</v>
      </c>
      <c r="S58" s="3" t="str">
        <f t="shared" si="6"/>
        <v/>
      </c>
      <c r="T58" s="3" t="str">
        <f t="shared" si="7"/>
        <v/>
      </c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">
        <f t="shared" si="4"/>
        <v>0</v>
      </c>
      <c r="R59" s="3">
        <f t="shared" si="5"/>
        <v>0.96</v>
      </c>
      <c r="S59" s="3" t="str">
        <f t="shared" si="6"/>
        <v/>
      </c>
      <c r="T59" s="3" t="str">
        <f t="shared" si="7"/>
        <v/>
      </c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3">
        <f t="shared" si="4"/>
        <v>0</v>
      </c>
      <c r="R60" s="3">
        <f t="shared" si="5"/>
        <v>0.96</v>
      </c>
      <c r="S60" s="3" t="str">
        <f t="shared" si="6"/>
        <v/>
      </c>
      <c r="T60" s="3" t="str">
        <f t="shared" si="7"/>
        <v/>
      </c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3">
        <f t="shared" si="4"/>
        <v>0</v>
      </c>
      <c r="R61" s="3">
        <f t="shared" si="5"/>
        <v>0.96</v>
      </c>
      <c r="S61" s="3" t="str">
        <f t="shared" si="6"/>
        <v/>
      </c>
      <c r="T61" s="3" t="str">
        <f t="shared" si="7"/>
        <v/>
      </c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">
        <f t="shared" si="4"/>
        <v>0</v>
      </c>
      <c r="R62" s="3">
        <f t="shared" si="5"/>
        <v>0.96</v>
      </c>
      <c r="S62" s="3" t="str">
        <f t="shared" si="6"/>
        <v/>
      </c>
      <c r="T62" s="3" t="str">
        <f t="shared" si="7"/>
        <v/>
      </c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">
        <f t="shared" si="4"/>
        <v>0</v>
      </c>
      <c r="R63" s="3">
        <f t="shared" si="5"/>
        <v>0.96</v>
      </c>
      <c r="S63" s="3" t="str">
        <f t="shared" si="6"/>
        <v/>
      </c>
      <c r="T63" s="3" t="str">
        <f t="shared" si="7"/>
        <v/>
      </c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">
        <f t="shared" si="4"/>
        <v>0</v>
      </c>
      <c r="R64" s="3">
        <f t="shared" si="5"/>
        <v>0.96</v>
      </c>
      <c r="S64" s="3" t="str">
        <f t="shared" si="6"/>
        <v/>
      </c>
      <c r="T64" s="3" t="str">
        <f t="shared" si="7"/>
        <v/>
      </c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">
        <f t="shared" si="4"/>
        <v>0</v>
      </c>
      <c r="R65" s="3">
        <f t="shared" si="5"/>
        <v>0.96</v>
      </c>
      <c r="S65" s="3" t="str">
        <f t="shared" si="6"/>
        <v/>
      </c>
      <c r="T65" s="3" t="str">
        <f t="shared" si="7"/>
        <v/>
      </c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3">
        <f t="shared" ref="Q66:Q97" si="8">ROUND((G66*0.18)+(H66*0.15)+(I66*0.12)+(J66*0.08)+(K66*0.13)+(L66*0.1)+(M66*0.12)+(N66*0.12)-(O66*0.07)+(P66*0.1),2)</f>
        <v>0</v>
      </c>
      <c r="R66" s="3">
        <f t="shared" ref="R66:R101" si="9">ROUND((I66*0.16)+(J66*0.2)+(K66*0.12)+(L66*0.1)+((6-M66)*0.08)+((6-N66)*0.08)+(O66*0.06)+(P66*0.14)+(G66*0.06),2)</f>
        <v>0.96</v>
      </c>
      <c r="S66" s="3" t="str">
        <f t="shared" ref="S66:S97" si="10">IF(A66="","",IF(AND(G66&gt;=4,H66&gt;=4,K66&gt;=3,P66&gt;=4),"Первый релиз",IF(Q66&gt;=3.7,"Первый релиз",IF(R66&gt;=3.6,"Следующий релиз","Не включать / проверить"))))</f>
        <v/>
      </c>
      <c r="T66" s="3" t="str">
        <f t="shared" ref="T66:T97" si="11">IF(A66="","",IF(S66="Первый релиз","Включить в минимальный рыночный выпуск",IF(S66="Следующий релиз","Запланировать после проверки первого релиза","Оставить как гипотезу / проверить позже")))</f>
        <v/>
      </c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3">
        <f t="shared" si="8"/>
        <v>0</v>
      </c>
      <c r="R67" s="3">
        <f t="shared" si="9"/>
        <v>0.96</v>
      </c>
      <c r="S67" s="3" t="str">
        <f t="shared" si="10"/>
        <v/>
      </c>
      <c r="T67" s="3" t="str">
        <f t="shared" si="11"/>
        <v/>
      </c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">
        <f t="shared" si="8"/>
        <v>0</v>
      </c>
      <c r="R68" s="3">
        <f t="shared" si="9"/>
        <v>0.96</v>
      </c>
      <c r="S68" s="3" t="str">
        <f t="shared" si="10"/>
        <v/>
      </c>
      <c r="T68" s="3" t="str">
        <f t="shared" si="11"/>
        <v/>
      </c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3">
        <f t="shared" si="8"/>
        <v>0</v>
      </c>
      <c r="R69" s="3">
        <f t="shared" si="9"/>
        <v>0.96</v>
      </c>
      <c r="S69" s="3" t="str">
        <f t="shared" si="10"/>
        <v/>
      </c>
      <c r="T69" s="3" t="str">
        <f t="shared" si="11"/>
        <v/>
      </c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">
        <f t="shared" si="8"/>
        <v>0</v>
      </c>
      <c r="R70" s="3">
        <f t="shared" si="9"/>
        <v>0.96</v>
      </c>
      <c r="S70" s="3" t="str">
        <f t="shared" si="10"/>
        <v/>
      </c>
      <c r="T70" s="3" t="str">
        <f t="shared" si="11"/>
        <v/>
      </c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3">
        <f t="shared" si="8"/>
        <v>0</v>
      </c>
      <c r="R71" s="3">
        <f t="shared" si="9"/>
        <v>0.96</v>
      </c>
      <c r="S71" s="3" t="str">
        <f t="shared" si="10"/>
        <v/>
      </c>
      <c r="T71" s="3" t="str">
        <f t="shared" si="11"/>
        <v/>
      </c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">
        <f t="shared" si="8"/>
        <v>0</v>
      </c>
      <c r="R72" s="3">
        <f t="shared" si="9"/>
        <v>0.96</v>
      </c>
      <c r="S72" s="3" t="str">
        <f t="shared" si="10"/>
        <v/>
      </c>
      <c r="T72" s="3" t="str">
        <f t="shared" si="11"/>
        <v/>
      </c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">
        <f t="shared" si="8"/>
        <v>0</v>
      </c>
      <c r="R73" s="3">
        <f t="shared" si="9"/>
        <v>0.96</v>
      </c>
      <c r="S73" s="3" t="str">
        <f t="shared" si="10"/>
        <v/>
      </c>
      <c r="T73" s="3" t="str">
        <f t="shared" si="11"/>
        <v/>
      </c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3">
        <f t="shared" si="8"/>
        <v>0</v>
      </c>
      <c r="R74" s="3">
        <f t="shared" si="9"/>
        <v>0.96</v>
      </c>
      <c r="S74" s="3" t="str">
        <f t="shared" si="10"/>
        <v/>
      </c>
      <c r="T74" s="3" t="str">
        <f t="shared" si="11"/>
        <v/>
      </c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3">
        <f t="shared" si="8"/>
        <v>0</v>
      </c>
      <c r="R75" s="3">
        <f t="shared" si="9"/>
        <v>0.96</v>
      </c>
      <c r="S75" s="3" t="str">
        <f t="shared" si="10"/>
        <v/>
      </c>
      <c r="T75" s="3" t="str">
        <f t="shared" si="11"/>
        <v/>
      </c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">
        <f t="shared" si="8"/>
        <v>0</v>
      </c>
      <c r="R76" s="3">
        <f t="shared" si="9"/>
        <v>0.96</v>
      </c>
      <c r="S76" s="3" t="str">
        <f t="shared" si="10"/>
        <v/>
      </c>
      <c r="T76" s="3" t="str">
        <f t="shared" si="11"/>
        <v/>
      </c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3">
        <f t="shared" si="8"/>
        <v>0</v>
      </c>
      <c r="R77" s="3">
        <f t="shared" si="9"/>
        <v>0.96</v>
      </c>
      <c r="S77" s="3" t="str">
        <f t="shared" si="10"/>
        <v/>
      </c>
      <c r="T77" s="3" t="str">
        <f t="shared" si="11"/>
        <v/>
      </c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">
        <f t="shared" si="8"/>
        <v>0</v>
      </c>
      <c r="R78" s="3">
        <f t="shared" si="9"/>
        <v>0.96</v>
      </c>
      <c r="S78" s="3" t="str">
        <f t="shared" si="10"/>
        <v/>
      </c>
      <c r="T78" s="3" t="str">
        <f t="shared" si="11"/>
        <v/>
      </c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">
        <f t="shared" si="8"/>
        <v>0</v>
      </c>
      <c r="R79" s="3">
        <f t="shared" si="9"/>
        <v>0.96</v>
      </c>
      <c r="S79" s="3" t="str">
        <f t="shared" si="10"/>
        <v/>
      </c>
      <c r="T79" s="3" t="str">
        <f t="shared" si="11"/>
        <v/>
      </c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3">
        <f t="shared" si="8"/>
        <v>0</v>
      </c>
      <c r="R80" s="3">
        <f t="shared" si="9"/>
        <v>0.96</v>
      </c>
      <c r="S80" s="3" t="str">
        <f t="shared" si="10"/>
        <v/>
      </c>
      <c r="T80" s="3" t="str">
        <f t="shared" si="11"/>
        <v/>
      </c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">
        <f t="shared" si="8"/>
        <v>0</v>
      </c>
      <c r="R81" s="3">
        <f t="shared" si="9"/>
        <v>0.96</v>
      </c>
      <c r="S81" s="3" t="str">
        <f t="shared" si="10"/>
        <v/>
      </c>
      <c r="T81" s="3" t="str">
        <f t="shared" si="11"/>
        <v/>
      </c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">
        <f t="shared" si="8"/>
        <v>0</v>
      </c>
      <c r="R82" s="3">
        <f t="shared" si="9"/>
        <v>0.96</v>
      </c>
      <c r="S82" s="3" t="str">
        <f t="shared" si="10"/>
        <v/>
      </c>
      <c r="T82" s="3" t="str">
        <f t="shared" si="11"/>
        <v/>
      </c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3">
        <f t="shared" si="8"/>
        <v>0</v>
      </c>
      <c r="R83" s="3">
        <f t="shared" si="9"/>
        <v>0.96</v>
      </c>
      <c r="S83" s="3" t="str">
        <f t="shared" si="10"/>
        <v/>
      </c>
      <c r="T83" s="3" t="str">
        <f t="shared" si="11"/>
        <v/>
      </c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">
        <f t="shared" si="8"/>
        <v>0</v>
      </c>
      <c r="R84" s="3">
        <f t="shared" si="9"/>
        <v>0.96</v>
      </c>
      <c r="S84" s="3" t="str">
        <f t="shared" si="10"/>
        <v/>
      </c>
      <c r="T84" s="3" t="str">
        <f t="shared" si="11"/>
        <v/>
      </c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3">
        <f t="shared" si="8"/>
        <v>0</v>
      </c>
      <c r="R85" s="3">
        <f t="shared" si="9"/>
        <v>0.96</v>
      </c>
      <c r="S85" s="3" t="str">
        <f t="shared" si="10"/>
        <v/>
      </c>
      <c r="T85" s="3" t="str">
        <f t="shared" si="11"/>
        <v/>
      </c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">
        <f t="shared" si="8"/>
        <v>0</v>
      </c>
      <c r="R86" s="3">
        <f t="shared" si="9"/>
        <v>0.96</v>
      </c>
      <c r="S86" s="3" t="str">
        <f t="shared" si="10"/>
        <v/>
      </c>
      <c r="T86" s="3" t="str">
        <f t="shared" si="11"/>
        <v/>
      </c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">
        <f t="shared" si="8"/>
        <v>0</v>
      </c>
      <c r="R87" s="3">
        <f t="shared" si="9"/>
        <v>0.96</v>
      </c>
      <c r="S87" s="3" t="str">
        <f t="shared" si="10"/>
        <v/>
      </c>
      <c r="T87" s="3" t="str">
        <f t="shared" si="11"/>
        <v/>
      </c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">
        <f t="shared" si="8"/>
        <v>0</v>
      </c>
      <c r="R88" s="3">
        <f t="shared" si="9"/>
        <v>0.96</v>
      </c>
      <c r="S88" s="3" t="str">
        <f t="shared" si="10"/>
        <v/>
      </c>
      <c r="T88" s="3" t="str">
        <f t="shared" si="11"/>
        <v/>
      </c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">
        <f t="shared" si="8"/>
        <v>0</v>
      </c>
      <c r="R89" s="3">
        <f t="shared" si="9"/>
        <v>0.96</v>
      </c>
      <c r="S89" s="3" t="str">
        <f t="shared" si="10"/>
        <v/>
      </c>
      <c r="T89" s="3" t="str">
        <f t="shared" si="11"/>
        <v/>
      </c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3">
        <f t="shared" si="8"/>
        <v>0</v>
      </c>
      <c r="R90" s="3">
        <f t="shared" si="9"/>
        <v>0.96</v>
      </c>
      <c r="S90" s="3" t="str">
        <f t="shared" si="10"/>
        <v/>
      </c>
      <c r="T90" s="3" t="str">
        <f t="shared" si="11"/>
        <v/>
      </c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3">
        <f t="shared" si="8"/>
        <v>0</v>
      </c>
      <c r="R91" s="3">
        <f t="shared" si="9"/>
        <v>0.96</v>
      </c>
      <c r="S91" s="3" t="str">
        <f t="shared" si="10"/>
        <v/>
      </c>
      <c r="T91" s="3" t="str">
        <f t="shared" si="11"/>
        <v/>
      </c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">
        <f t="shared" si="8"/>
        <v>0</v>
      </c>
      <c r="R92" s="3">
        <f t="shared" si="9"/>
        <v>0.96</v>
      </c>
      <c r="S92" s="3" t="str">
        <f t="shared" si="10"/>
        <v/>
      </c>
      <c r="T92" s="3" t="str">
        <f t="shared" si="11"/>
        <v/>
      </c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3">
        <f t="shared" si="8"/>
        <v>0</v>
      </c>
      <c r="R93" s="3">
        <f t="shared" si="9"/>
        <v>0.96</v>
      </c>
      <c r="S93" s="3" t="str">
        <f t="shared" si="10"/>
        <v/>
      </c>
      <c r="T93" s="3" t="str">
        <f t="shared" si="11"/>
        <v/>
      </c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">
        <f t="shared" si="8"/>
        <v>0</v>
      </c>
      <c r="R94" s="3">
        <f t="shared" si="9"/>
        <v>0.96</v>
      </c>
      <c r="S94" s="3" t="str">
        <f t="shared" si="10"/>
        <v/>
      </c>
      <c r="T94" s="3" t="str">
        <f t="shared" si="11"/>
        <v/>
      </c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3">
        <f t="shared" si="8"/>
        <v>0</v>
      </c>
      <c r="R95" s="3">
        <f t="shared" si="9"/>
        <v>0.96</v>
      </c>
      <c r="S95" s="3" t="str">
        <f t="shared" si="10"/>
        <v/>
      </c>
      <c r="T95" s="3" t="str">
        <f t="shared" si="11"/>
        <v/>
      </c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3">
        <f t="shared" si="8"/>
        <v>0</v>
      </c>
      <c r="R96" s="3">
        <f t="shared" si="9"/>
        <v>0.96</v>
      </c>
      <c r="S96" s="3" t="str">
        <f t="shared" si="10"/>
        <v/>
      </c>
      <c r="T96" s="3" t="str">
        <f t="shared" si="11"/>
        <v/>
      </c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3">
        <f t="shared" si="8"/>
        <v>0</v>
      </c>
      <c r="R97" s="3">
        <f t="shared" si="9"/>
        <v>0.96</v>
      </c>
      <c r="S97" s="3" t="str">
        <f t="shared" si="10"/>
        <v/>
      </c>
      <c r="T97" s="3" t="str">
        <f t="shared" si="11"/>
        <v/>
      </c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3">
        <f t="shared" ref="Q98:Q101" si="12">ROUND((G98*0.18)+(H98*0.15)+(I98*0.12)+(J98*0.08)+(K98*0.13)+(L98*0.1)+(M98*0.12)+(N98*0.12)-(O98*0.07)+(P98*0.1),2)</f>
        <v>0</v>
      </c>
      <c r="R98" s="3">
        <f t="shared" si="9"/>
        <v>0.96</v>
      </c>
      <c r="S98" s="3" t="str">
        <f t="shared" ref="S98:S101" si="13">IF(A98="","",IF(AND(G98&gt;=4,H98&gt;=4,K98&gt;=3,P98&gt;=4),"Первый релиз",IF(Q98&gt;=3.7,"Первый релиз",IF(R98&gt;=3.6,"Следующий релиз","Не включать / проверить"))))</f>
        <v/>
      </c>
      <c r="T98" s="3" t="str">
        <f t="shared" ref="T98:T101" si="14">IF(A98="","",IF(S98="Первый релиз","Включить в минимальный рыночный выпуск",IF(S98="Следующий релиз","Запланировать после проверки первого релиза","Оставить как гипотезу / проверить позже")))</f>
        <v/>
      </c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">
        <f t="shared" si="12"/>
        <v>0</v>
      </c>
      <c r="R99" s="3">
        <f t="shared" si="9"/>
        <v>0.96</v>
      </c>
      <c r="S99" s="3" t="str">
        <f t="shared" si="13"/>
        <v/>
      </c>
      <c r="T99" s="3" t="str">
        <f t="shared" si="14"/>
        <v/>
      </c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">
        <f t="shared" si="12"/>
        <v>0</v>
      </c>
      <c r="R100" s="3">
        <f t="shared" si="9"/>
        <v>0.96</v>
      </c>
      <c r="S100" s="3" t="str">
        <f t="shared" si="13"/>
        <v/>
      </c>
      <c r="T100" s="3" t="str">
        <f t="shared" si="14"/>
        <v/>
      </c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3">
        <f t="shared" si="12"/>
        <v>0</v>
      </c>
      <c r="R101" s="3">
        <f t="shared" si="9"/>
        <v>0.96</v>
      </c>
      <c r="S101" s="3" t="str">
        <f t="shared" si="13"/>
        <v/>
      </c>
      <c r="T101" s="3" t="str">
        <f t="shared" si="14"/>
        <v/>
      </c>
      <c r="U101" s="1"/>
    </row>
  </sheetData>
  <conditionalFormatting sqref="Q2:Q1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2:R10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type="whole" sqref="G2:P101" xr:uid="{00000000-0002-0000-0200-000000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1000000}">
          <x14:formula1>
            <xm:f>Справочники!$C$2:$C$9</xm:f>
          </x14:formula1>
          <xm:sqref>B2:B101</xm:sqref>
        </x14:dataValidation>
        <x14:dataValidation type="list" xr:uid="{00000000-0002-0000-0200-000002000000}">
          <x14:formula1>
            <xm:f>Справочники!$D$2:$D$10</xm:f>
          </x14:formula1>
          <xm:sqref>F2:F101</xm:sqref>
        </x14:dataValidation>
        <x14:dataValidation type="list" xr:uid="{00000000-0002-0000-0200-000003000000}">
          <x14:formula1>
            <xm:f>Справочники!$E$2:$E$4</xm:f>
          </x14:formula1>
          <xm:sqref>S2:S101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4.25"/>
  <cols>
    <col min="1" max="1" width="32.625" customWidth="1"/>
    <col min="2" max="2" width="18.625" customWidth="1"/>
    <col min="3" max="3" width="29.625" customWidth="1"/>
    <col min="4" max="4" width="25.625" customWidth="1"/>
    <col min="5" max="5" width="27.625" customWidth="1"/>
    <col min="6" max="6" width="28.625" customWidth="1"/>
    <col min="7" max="7" width="20" customWidth="1"/>
    <col min="8" max="8" width="18" customWidth="1"/>
    <col min="9" max="9" width="26.625" customWidth="1"/>
    <col min="10" max="10" width="42" customWidth="1"/>
  </cols>
  <sheetData>
    <row r="1" spans="1:10" ht="18">
      <c r="A1" s="15" t="s">
        <v>78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ht="30">
      <c r="A3" s="10" t="s">
        <v>79</v>
      </c>
      <c r="B3" s="10" t="s">
        <v>80</v>
      </c>
      <c r="C3" s="10" t="s">
        <v>81</v>
      </c>
      <c r="D3" s="10" t="s">
        <v>82</v>
      </c>
      <c r="E3" s="10" t="s">
        <v>83</v>
      </c>
      <c r="F3" s="10" t="s">
        <v>84</v>
      </c>
      <c r="G3" s="10" t="s">
        <v>85</v>
      </c>
      <c r="H3" s="10" t="s">
        <v>86</v>
      </c>
      <c r="I3" s="10" t="s">
        <v>87</v>
      </c>
      <c r="J3" s="10" t="s">
        <v>88</v>
      </c>
    </row>
    <row r="4" spans="1:10" ht="15">
      <c r="A4" s="9" t="s">
        <v>89</v>
      </c>
      <c r="B4" s="4">
        <f>COUNTIF(Реестр_единиц!$S$2:$S$101,A4)</f>
        <v>10</v>
      </c>
      <c r="C4" s="4">
        <f>IFERROR(AVERAGEIF(Реестр_единиц!$S$2:$S$101,A4,Реестр_единиц!$Q$2:$Q$101),0)</f>
        <v>4.3029999999999999</v>
      </c>
      <c r="D4" s="4">
        <f>IFERROR(AVERAGEIF(Реестр_единиц!$S$2:$S$101,A4,Реестр_единиц!$K$2:$K$101),0)</f>
        <v>4</v>
      </c>
      <c r="E4" s="4">
        <f>IFERROR(AVERAGEIF(Реестр_единиц!$S$2:$S$101,A4,Реестр_единиц!$G$2:$G$101),0)</f>
        <v>4.4000000000000004</v>
      </c>
      <c r="F4" s="4">
        <f>IFERROR(AVERAGEIF(Реестр_единиц!$S$2:$S$101,A4,Реестр_единиц!$H$2:$H$101),0)</f>
        <v>3.8</v>
      </c>
      <c r="G4" s="4">
        <f>IFERROR(AVERAGEIF(Реестр_единиц!$S$2:$S$101,A4,Реестр_единиц!$I$2:$I$101),0)</f>
        <v>3.2</v>
      </c>
      <c r="H4" s="4">
        <f>IFERROR(AVERAGEIF(Реестр_единиц!$S$2:$S$101,A4,Реестр_единиц!$J$2:$J$101),0)</f>
        <v>3.2</v>
      </c>
      <c r="I4" s="4">
        <f>IFERROR(AVERAGEIF(Реестр_единиц!$S$2:$S$101,A4,Реестр_единиц!$O$2:$O$101),0)</f>
        <v>1.9</v>
      </c>
      <c r="J4" s="3" t="str">
        <f>IF(B4=0,"Нет выбранных единиц",IF(AND(E4&gt;=4,D4&gt;=3.5),"Состав достаточно обоснован","Требуется дополнительная проверка"))</f>
        <v>Состав достаточно обоснован</v>
      </c>
    </row>
    <row r="5" spans="1:10" ht="15">
      <c r="A5" s="9" t="s">
        <v>90</v>
      </c>
      <c r="B5" s="4">
        <f>COUNTIF(Реестр_единиц!$S$2:$S$101,A5)</f>
        <v>1</v>
      </c>
      <c r="C5" s="4">
        <f>IFERROR(AVERAGEIF(Реестр_единиц!$S$2:$S$101,A5,Реестр_единиц!$Q$2:$Q$101),0)</f>
        <v>2.83</v>
      </c>
      <c r="D5" s="4">
        <f>IFERROR(AVERAGEIF(Реестр_единиц!$S$2:$S$101,A5,Реестр_единиц!$K$2:$K$101),0)</f>
        <v>3</v>
      </c>
      <c r="E5" s="4">
        <f>IFERROR(AVERAGEIF(Реестр_единиц!$S$2:$S$101,A5,Реестр_единиц!$G$2:$G$101),0)</f>
        <v>4</v>
      </c>
      <c r="F5" s="4">
        <f>IFERROR(AVERAGEIF(Реестр_единиц!$S$2:$S$101,A5,Реестр_единиц!$H$2:$H$101),0)</f>
        <v>3</v>
      </c>
      <c r="G5" s="4">
        <f>IFERROR(AVERAGEIF(Реестр_единиц!$S$2:$S$101,A5,Реестр_единиц!$I$2:$I$101),0)</f>
        <v>4</v>
      </c>
      <c r="H5" s="4">
        <f>IFERROR(AVERAGEIF(Реестр_единиц!$S$2:$S$101,A5,Реестр_единиц!$J$2:$J$101),0)</f>
        <v>5</v>
      </c>
      <c r="I5" s="4">
        <f>IFERROR(AVERAGEIF(Реестр_единиц!$S$2:$S$101,A5,Реестр_единиц!$O$2:$O$101),0)</f>
        <v>5</v>
      </c>
      <c r="J5" s="3" t="str">
        <f>IF(B5=0,"Нет выбранных единиц",IF(AND(E5&gt;=4,D5&gt;=3.5),"Состав достаточно обоснован","Требуется дополнительная проверка"))</f>
        <v>Требуется дополнительная проверка</v>
      </c>
    </row>
    <row r="6" spans="1:10" ht="15">
      <c r="A6" s="9" t="s">
        <v>91</v>
      </c>
      <c r="B6" s="4">
        <f>COUNTIF(Реестр_единиц!$S$2:$S$101,A6)</f>
        <v>9</v>
      </c>
      <c r="C6" s="4">
        <f>IFERROR(AVERAGEIF(Реестр_единиц!$S$2:$S$101,A6,Реестр_единиц!$Q$2:$Q$101),0)</f>
        <v>3.03</v>
      </c>
      <c r="D6" s="4">
        <f>IFERROR(AVERAGEIF(Реестр_единиц!$S$2:$S$101,A6,Реестр_единиц!$K$2:$K$101),0)</f>
        <v>2.6666666666666665</v>
      </c>
      <c r="E6" s="4">
        <f>IFERROR(AVERAGEIF(Реестр_единиц!$S$2:$S$101,A6,Реестр_единиц!$G$2:$G$101),0)</f>
        <v>3.2222222222222223</v>
      </c>
      <c r="F6" s="4">
        <f>IFERROR(AVERAGEIF(Реестр_единиц!$S$2:$S$101,A6,Реестр_единиц!$H$2:$H$101),0)</f>
        <v>2.6666666666666665</v>
      </c>
      <c r="G6" s="4">
        <f>IFERROR(AVERAGEIF(Реестр_единиц!$S$2:$S$101,A6,Реестр_единиц!$I$2:$I$101),0)</f>
        <v>3.5555555555555554</v>
      </c>
      <c r="H6" s="4">
        <f>IFERROR(AVERAGEIF(Реестр_единиц!$S$2:$S$101,A6,Реестр_единиц!$J$2:$J$101),0)</f>
        <v>3.2222222222222223</v>
      </c>
      <c r="I6" s="4">
        <f>IFERROR(AVERAGEIF(Реестр_единиц!$S$2:$S$101,A6,Реестр_единиц!$O$2:$O$101),0)</f>
        <v>3</v>
      </c>
      <c r="J6" s="3" t="str">
        <f>IF(B6=0,"Нет выбранных единиц",IF(AND(E6&gt;=4,D6&gt;=3.5),"Состав достаточно обоснован","Требуется дополнительная проверка"))</f>
        <v>Требуется дополнительная проверка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/>
  </sheetViews>
  <sheetFormatPr defaultRowHeight="14.25"/>
  <cols>
    <col min="1" max="1" width="55.625" customWidth="1"/>
    <col min="2" max="2" width="38.625" customWidth="1"/>
    <col min="3" max="6" width="55.625" customWidth="1"/>
    <col min="7" max="7" width="33.625" customWidth="1"/>
    <col min="8" max="8" width="21.625" customWidth="1"/>
  </cols>
  <sheetData>
    <row r="1" spans="1:8" ht="18">
      <c r="A1" s="15" t="s">
        <v>92</v>
      </c>
      <c r="B1" s="15"/>
      <c r="C1" s="15"/>
      <c r="D1" s="15"/>
      <c r="E1" s="15"/>
      <c r="F1" s="15"/>
      <c r="G1" s="15"/>
      <c r="H1" s="15"/>
    </row>
    <row r="2" spans="1:8">
      <c r="A2" s="8"/>
      <c r="B2" s="8"/>
      <c r="C2" s="8"/>
      <c r="D2" s="8"/>
      <c r="E2" s="8"/>
      <c r="F2" s="8"/>
      <c r="G2" s="8"/>
      <c r="H2" s="8"/>
    </row>
    <row r="3" spans="1:8" ht="15">
      <c r="A3" s="10" t="s">
        <v>33</v>
      </c>
      <c r="B3" s="10" t="s">
        <v>93</v>
      </c>
      <c r="C3" s="10" t="s">
        <v>94</v>
      </c>
      <c r="D3" s="10" t="s">
        <v>95</v>
      </c>
      <c r="E3" s="10" t="s">
        <v>96</v>
      </c>
      <c r="F3" s="10" t="s">
        <v>97</v>
      </c>
      <c r="G3" s="10" t="s">
        <v>98</v>
      </c>
      <c r="H3" s="10" t="s">
        <v>99</v>
      </c>
    </row>
    <row r="4" spans="1:8" ht="28.5">
      <c r="A4" s="1" t="s">
        <v>100</v>
      </c>
      <c r="B4" s="1" t="s">
        <v>260</v>
      </c>
      <c r="C4" s="1" t="s">
        <v>519</v>
      </c>
      <c r="D4" s="1" t="s">
        <v>325</v>
      </c>
      <c r="E4" s="1" t="s">
        <v>326</v>
      </c>
      <c r="F4" s="1" t="s">
        <v>327</v>
      </c>
      <c r="G4" s="1" t="s">
        <v>328</v>
      </c>
      <c r="H4" s="1" t="s">
        <v>329</v>
      </c>
    </row>
    <row r="5" spans="1:8" ht="28.5">
      <c r="A5" s="1" t="s">
        <v>101</v>
      </c>
      <c r="B5" s="1" t="s">
        <v>263</v>
      </c>
      <c r="C5" s="1" t="s">
        <v>266</v>
      </c>
      <c r="D5" s="1" t="s">
        <v>330</v>
      </c>
      <c r="E5" s="1" t="s">
        <v>326</v>
      </c>
      <c r="F5" s="1" t="s">
        <v>331</v>
      </c>
      <c r="G5" s="1" t="s">
        <v>332</v>
      </c>
      <c r="H5" s="1" t="s">
        <v>329</v>
      </c>
    </row>
    <row r="6" spans="1:8" ht="28.5">
      <c r="A6" s="1" t="s">
        <v>102</v>
      </c>
      <c r="B6" s="1" t="s">
        <v>267</v>
      </c>
      <c r="C6" s="1" t="s">
        <v>269</v>
      </c>
      <c r="D6" s="1" t="s">
        <v>330</v>
      </c>
      <c r="E6" s="1" t="s">
        <v>326</v>
      </c>
      <c r="F6" s="1" t="s">
        <v>331</v>
      </c>
      <c r="G6" s="1" t="s">
        <v>332</v>
      </c>
      <c r="H6" s="1" t="s">
        <v>329</v>
      </c>
    </row>
    <row r="7" spans="1:8" ht="28.5">
      <c r="A7" s="1" t="s">
        <v>333</v>
      </c>
      <c r="B7" s="1" t="s">
        <v>274</v>
      </c>
      <c r="C7" s="1" t="s">
        <v>276</v>
      </c>
      <c r="D7" s="1" t="s">
        <v>334</v>
      </c>
      <c r="E7" s="1" t="s">
        <v>326</v>
      </c>
      <c r="F7" s="1" t="s">
        <v>335</v>
      </c>
      <c r="G7" s="1" t="s">
        <v>336</v>
      </c>
      <c r="H7" s="1" t="s">
        <v>329</v>
      </c>
    </row>
    <row r="8" spans="1:8" ht="28.5">
      <c r="A8" s="1" t="s">
        <v>337</v>
      </c>
      <c r="B8" s="1" t="s">
        <v>277</v>
      </c>
      <c r="C8" s="1" t="s">
        <v>280</v>
      </c>
      <c r="D8" s="1" t="s">
        <v>338</v>
      </c>
      <c r="E8" s="1" t="s">
        <v>326</v>
      </c>
      <c r="F8" s="1" t="s">
        <v>339</v>
      </c>
      <c r="G8" s="1" t="s">
        <v>340</v>
      </c>
      <c r="H8" s="1" t="s">
        <v>329</v>
      </c>
    </row>
    <row r="9" spans="1:8" ht="28.5">
      <c r="A9" s="1" t="s">
        <v>341</v>
      </c>
      <c r="B9" s="1" t="s">
        <v>281</v>
      </c>
      <c r="C9" s="1" t="s">
        <v>283</v>
      </c>
      <c r="D9" s="1" t="s">
        <v>342</v>
      </c>
      <c r="E9" s="1" t="s">
        <v>326</v>
      </c>
      <c r="F9" s="1" t="s">
        <v>343</v>
      </c>
      <c r="G9" s="1" t="s">
        <v>344</v>
      </c>
      <c r="H9" s="1" t="s">
        <v>329</v>
      </c>
    </row>
    <row r="10" spans="1:8" ht="28.5">
      <c r="A10" s="1" t="s">
        <v>345</v>
      </c>
      <c r="B10" s="1" t="s">
        <v>284</v>
      </c>
      <c r="C10" s="1" t="s">
        <v>286</v>
      </c>
      <c r="D10" s="1" t="s">
        <v>346</v>
      </c>
      <c r="E10" s="1" t="s">
        <v>326</v>
      </c>
      <c r="F10" s="1" t="s">
        <v>347</v>
      </c>
      <c r="G10" s="1" t="s">
        <v>348</v>
      </c>
      <c r="H10" s="1" t="s">
        <v>329</v>
      </c>
    </row>
    <row r="11" spans="1:8" ht="28.5">
      <c r="A11" s="1" t="s">
        <v>349</v>
      </c>
      <c r="B11" s="1" t="s">
        <v>287</v>
      </c>
      <c r="C11" s="1" t="s">
        <v>289</v>
      </c>
      <c r="D11" s="1" t="s">
        <v>350</v>
      </c>
      <c r="E11" s="1" t="s">
        <v>326</v>
      </c>
      <c r="F11" s="1" t="s">
        <v>351</v>
      </c>
      <c r="G11" s="1" t="s">
        <v>352</v>
      </c>
      <c r="H11" s="1" t="s">
        <v>329</v>
      </c>
    </row>
    <row r="12" spans="1:8" ht="28.5">
      <c r="A12" s="1" t="s">
        <v>353</v>
      </c>
      <c r="B12" s="1" t="s">
        <v>303</v>
      </c>
      <c r="C12" s="1" t="s">
        <v>305</v>
      </c>
      <c r="D12" s="1" t="s">
        <v>325</v>
      </c>
      <c r="E12" s="1" t="s">
        <v>326</v>
      </c>
      <c r="F12" s="1" t="s">
        <v>327</v>
      </c>
      <c r="G12" s="1" t="s">
        <v>328</v>
      </c>
      <c r="H12" s="1" t="s">
        <v>329</v>
      </c>
    </row>
    <row r="13" spans="1:8" ht="28.5">
      <c r="A13" s="1" t="s">
        <v>354</v>
      </c>
      <c r="B13" s="1" t="s">
        <v>307</v>
      </c>
      <c r="C13" s="1" t="s">
        <v>308</v>
      </c>
      <c r="D13" s="1" t="s">
        <v>334</v>
      </c>
      <c r="E13" s="1" t="s">
        <v>326</v>
      </c>
      <c r="F13" s="1" t="s">
        <v>335</v>
      </c>
      <c r="G13" s="1" t="s">
        <v>336</v>
      </c>
      <c r="H13" s="1" t="s">
        <v>329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/>
  </sheetViews>
  <sheetFormatPr defaultRowHeight="14.25"/>
  <cols>
    <col min="1" max="1" width="55.625" customWidth="1"/>
    <col min="2" max="2" width="15" customWidth="1"/>
    <col min="3" max="3" width="32.625" customWidth="1"/>
    <col min="4" max="4" width="55.625" customWidth="1"/>
    <col min="5" max="6" width="40" customWidth="1"/>
    <col min="7" max="7" width="28" customWidth="1"/>
    <col min="8" max="8" width="32" customWidth="1"/>
    <col min="9" max="9" width="55.625" customWidth="1"/>
  </cols>
  <sheetData>
    <row r="1" spans="1:9" ht="18">
      <c r="A1" s="15" t="s">
        <v>103</v>
      </c>
      <c r="B1" s="15"/>
      <c r="C1" s="15"/>
      <c r="D1" s="15"/>
      <c r="E1" s="15"/>
      <c r="F1" s="15"/>
      <c r="G1" s="15"/>
      <c r="H1" s="15"/>
      <c r="I1" s="15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 ht="15">
      <c r="A3" s="10" t="s">
        <v>33</v>
      </c>
      <c r="B3" s="10" t="s">
        <v>79</v>
      </c>
      <c r="C3" s="10" t="s">
        <v>104</v>
      </c>
      <c r="D3" s="10" t="s">
        <v>105</v>
      </c>
      <c r="E3" s="10" t="s">
        <v>106</v>
      </c>
      <c r="F3" s="10" t="s">
        <v>107</v>
      </c>
      <c r="G3" s="10" t="s">
        <v>108</v>
      </c>
      <c r="H3" s="10" t="s">
        <v>109</v>
      </c>
      <c r="I3" s="10" t="s">
        <v>110</v>
      </c>
    </row>
    <row r="4" spans="1:9" ht="28.5">
      <c r="A4" s="1" t="s">
        <v>111</v>
      </c>
      <c r="B4" s="1" t="s">
        <v>112</v>
      </c>
      <c r="C4" s="1" t="s">
        <v>270</v>
      </c>
      <c r="D4" s="1" t="s">
        <v>355</v>
      </c>
      <c r="E4" s="1" t="s">
        <v>356</v>
      </c>
      <c r="F4" s="1" t="s">
        <v>357</v>
      </c>
      <c r="G4" s="1" t="s">
        <v>358</v>
      </c>
      <c r="H4" s="1" t="s">
        <v>359</v>
      </c>
      <c r="I4" s="1" t="s">
        <v>273</v>
      </c>
    </row>
    <row r="5" spans="1:9" ht="28.5">
      <c r="A5" s="1" t="s">
        <v>113</v>
      </c>
      <c r="B5" s="1" t="s">
        <v>112</v>
      </c>
      <c r="C5" s="1" t="s">
        <v>290</v>
      </c>
      <c r="D5" s="1" t="s">
        <v>360</v>
      </c>
      <c r="E5" s="1" t="s">
        <v>356</v>
      </c>
      <c r="F5" s="1" t="s">
        <v>357</v>
      </c>
      <c r="G5" s="1" t="s">
        <v>361</v>
      </c>
      <c r="H5" s="1" t="s">
        <v>359</v>
      </c>
      <c r="I5" s="1" t="s">
        <v>292</v>
      </c>
    </row>
    <row r="6" spans="1:9" ht="28.5">
      <c r="A6" s="1" t="s">
        <v>114</v>
      </c>
      <c r="B6" s="1" t="s">
        <v>112</v>
      </c>
      <c r="C6" s="1" t="s">
        <v>294</v>
      </c>
      <c r="D6" s="1" t="s">
        <v>362</v>
      </c>
      <c r="E6" s="1" t="s">
        <v>356</v>
      </c>
      <c r="F6" s="1" t="s">
        <v>357</v>
      </c>
      <c r="G6" s="1" t="s">
        <v>363</v>
      </c>
      <c r="H6" s="1" t="s">
        <v>359</v>
      </c>
      <c r="I6" s="1" t="s">
        <v>296</v>
      </c>
    </row>
    <row r="7" spans="1:9" ht="28.5">
      <c r="A7" s="1" t="s">
        <v>364</v>
      </c>
      <c r="B7" s="1" t="s">
        <v>112</v>
      </c>
      <c r="C7" s="1" t="s">
        <v>298</v>
      </c>
      <c r="D7" s="1" t="s">
        <v>365</v>
      </c>
      <c r="E7" s="1" t="s">
        <v>356</v>
      </c>
      <c r="F7" s="1" t="s">
        <v>357</v>
      </c>
      <c r="G7" s="1" t="s">
        <v>366</v>
      </c>
      <c r="H7" s="1" t="s">
        <v>359</v>
      </c>
      <c r="I7" s="1" t="s">
        <v>299</v>
      </c>
    </row>
    <row r="8" spans="1:9" ht="28.5">
      <c r="A8" s="1" t="s">
        <v>367</v>
      </c>
      <c r="B8" s="1" t="s">
        <v>112</v>
      </c>
      <c r="C8" s="1" t="s">
        <v>300</v>
      </c>
      <c r="D8" s="1" t="s">
        <v>368</v>
      </c>
      <c r="E8" s="1" t="s">
        <v>356</v>
      </c>
      <c r="F8" s="1" t="s">
        <v>357</v>
      </c>
      <c r="G8" s="1" t="s">
        <v>369</v>
      </c>
      <c r="H8" s="1" t="s">
        <v>359</v>
      </c>
      <c r="I8" s="1" t="s">
        <v>301</v>
      </c>
    </row>
    <row r="9" spans="1:9" ht="28.5">
      <c r="A9" s="1" t="s">
        <v>370</v>
      </c>
      <c r="B9" s="1" t="s">
        <v>371</v>
      </c>
      <c r="C9" s="1" t="s">
        <v>310</v>
      </c>
      <c r="D9" s="1" t="s">
        <v>372</v>
      </c>
      <c r="E9" s="1" t="s">
        <v>356</v>
      </c>
      <c r="F9" s="1" t="s">
        <v>357</v>
      </c>
      <c r="G9" s="1" t="s">
        <v>373</v>
      </c>
      <c r="H9" s="1" t="s">
        <v>359</v>
      </c>
      <c r="I9" s="1" t="s">
        <v>311</v>
      </c>
    </row>
    <row r="10" spans="1:9" ht="28.5">
      <c r="A10" s="1" t="s">
        <v>374</v>
      </c>
      <c r="B10" s="1" t="s">
        <v>112</v>
      </c>
      <c r="C10" s="1" t="s">
        <v>312</v>
      </c>
      <c r="D10" s="1" t="s">
        <v>375</v>
      </c>
      <c r="E10" s="1" t="s">
        <v>356</v>
      </c>
      <c r="F10" s="1" t="s">
        <v>357</v>
      </c>
      <c r="G10" s="1" t="s">
        <v>376</v>
      </c>
      <c r="H10" s="1" t="s">
        <v>359</v>
      </c>
      <c r="I10" s="1" t="s">
        <v>315</v>
      </c>
    </row>
    <row r="11" spans="1:9" ht="28.5">
      <c r="A11" s="1" t="s">
        <v>377</v>
      </c>
      <c r="B11" s="1" t="s">
        <v>115</v>
      </c>
      <c r="C11" s="1" t="s">
        <v>316</v>
      </c>
      <c r="D11" s="1" t="s">
        <v>378</v>
      </c>
      <c r="E11" s="1" t="s">
        <v>356</v>
      </c>
      <c r="F11" s="1" t="s">
        <v>357</v>
      </c>
      <c r="G11" s="1" t="s">
        <v>379</v>
      </c>
      <c r="H11" s="1" t="s">
        <v>359</v>
      </c>
      <c r="I11" s="1" t="s">
        <v>318</v>
      </c>
    </row>
    <row r="12" spans="1:9" ht="28.5">
      <c r="A12" s="1" t="s">
        <v>380</v>
      </c>
      <c r="B12" s="1" t="s">
        <v>371</v>
      </c>
      <c r="C12" s="1" t="s">
        <v>320</v>
      </c>
      <c r="D12" s="1" t="s">
        <v>381</v>
      </c>
      <c r="E12" s="1" t="s">
        <v>356</v>
      </c>
      <c r="F12" s="1" t="s">
        <v>357</v>
      </c>
      <c r="G12" s="1" t="s">
        <v>382</v>
      </c>
      <c r="H12" s="1" t="s">
        <v>359</v>
      </c>
      <c r="I12" s="1" t="s">
        <v>321</v>
      </c>
    </row>
    <row r="13" spans="1:9" ht="28.5">
      <c r="A13" s="1" t="s">
        <v>383</v>
      </c>
      <c r="B13" s="1" t="s">
        <v>371</v>
      </c>
      <c r="C13" s="1" t="s">
        <v>323</v>
      </c>
      <c r="D13" s="1" t="s">
        <v>384</v>
      </c>
      <c r="E13" s="1" t="s">
        <v>356</v>
      </c>
      <c r="F13" s="1" t="s">
        <v>357</v>
      </c>
      <c r="G13" s="1" t="s">
        <v>385</v>
      </c>
      <c r="H13" s="1" t="s">
        <v>359</v>
      </c>
      <c r="I13" s="1" t="s">
        <v>324</v>
      </c>
    </row>
  </sheetData>
  <mergeCells count="1">
    <mergeCell ref="A1:I1"/>
  </mergeCells>
  <dataValidations count="1">
    <dataValidation type="list" sqref="B4:B13" xr:uid="{00000000-0002-0000-0500-000000000000}">
      <formula1>"Релиз 2,Релиз 3,Релиз 4,Бэклог"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"/>
  <sheetViews>
    <sheetView workbookViewId="0"/>
  </sheetViews>
  <sheetFormatPr defaultRowHeight="14.25"/>
  <cols>
    <col min="1" max="1" width="24.625" customWidth="1"/>
    <col min="2" max="3" width="55.625" customWidth="1"/>
    <col min="4" max="4" width="52.625" customWidth="1"/>
    <col min="5" max="5" width="55.625" customWidth="1"/>
    <col min="6" max="6" width="49.625" customWidth="1"/>
    <col min="7" max="7" width="33.625" customWidth="1"/>
    <col min="8" max="8" width="55.625" customWidth="1"/>
    <col min="9" max="9" width="52.625" customWidth="1"/>
    <col min="10" max="11" width="17.625" customWidth="1"/>
  </cols>
  <sheetData>
    <row r="1" spans="1:11" ht="18">
      <c r="A1" s="15" t="s">
        <v>116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5">
      <c r="A3" s="10" t="s">
        <v>79</v>
      </c>
      <c r="B3" s="10" t="s">
        <v>117</v>
      </c>
      <c r="C3" s="10" t="s">
        <v>118</v>
      </c>
      <c r="D3" s="10" t="s">
        <v>119</v>
      </c>
      <c r="E3" s="10" t="s">
        <v>120</v>
      </c>
      <c r="F3" s="10" t="s">
        <v>121</v>
      </c>
      <c r="G3" s="10" t="s">
        <v>122</v>
      </c>
      <c r="H3" s="10" t="s">
        <v>123</v>
      </c>
      <c r="I3" s="10" t="s">
        <v>124</v>
      </c>
      <c r="J3" s="10" t="s">
        <v>125</v>
      </c>
      <c r="K3" s="10" t="s">
        <v>126</v>
      </c>
    </row>
    <row r="4" spans="1:11" ht="28.5">
      <c r="A4" s="1" t="s">
        <v>386</v>
      </c>
      <c r="B4" s="1" t="s">
        <v>387</v>
      </c>
      <c r="C4" s="1" t="s">
        <v>388</v>
      </c>
      <c r="D4" s="1" t="s">
        <v>389</v>
      </c>
      <c r="E4" s="1" t="s">
        <v>390</v>
      </c>
      <c r="F4" s="1" t="s">
        <v>520</v>
      </c>
      <c r="G4" s="1" t="s">
        <v>511</v>
      </c>
      <c r="H4" s="1" t="s">
        <v>391</v>
      </c>
      <c r="I4" s="1" t="s">
        <v>392</v>
      </c>
      <c r="J4" s="5" t="s">
        <v>512</v>
      </c>
      <c r="K4" s="5" t="s">
        <v>512</v>
      </c>
    </row>
    <row r="5" spans="1:11" ht="57">
      <c r="A5" s="1" t="s">
        <v>393</v>
      </c>
      <c r="B5" s="1" t="s">
        <v>394</v>
      </c>
      <c r="C5" s="1" t="s">
        <v>395</v>
      </c>
      <c r="D5" s="1" t="s">
        <v>396</v>
      </c>
      <c r="E5" s="1" t="s">
        <v>397</v>
      </c>
      <c r="F5" s="1" t="s">
        <v>398</v>
      </c>
      <c r="G5" s="1" t="s">
        <v>513</v>
      </c>
      <c r="H5" s="1" t="s">
        <v>521</v>
      </c>
      <c r="I5" s="1" t="s">
        <v>399</v>
      </c>
      <c r="J5" s="5" t="s">
        <v>512</v>
      </c>
      <c r="K5" s="5" t="s">
        <v>512</v>
      </c>
    </row>
    <row r="6" spans="1:11" ht="42.75">
      <c r="A6" s="1" t="s">
        <v>112</v>
      </c>
      <c r="B6" s="1" t="s">
        <v>400</v>
      </c>
      <c r="C6" s="1" t="s">
        <v>401</v>
      </c>
      <c r="D6" s="1" t="s">
        <v>402</v>
      </c>
      <c r="E6" s="1" t="s">
        <v>403</v>
      </c>
      <c r="F6" s="1" t="s">
        <v>514</v>
      </c>
      <c r="G6" s="1" t="s">
        <v>404</v>
      </c>
      <c r="H6" s="1" t="s">
        <v>405</v>
      </c>
      <c r="I6" s="1" t="s">
        <v>406</v>
      </c>
      <c r="J6" s="5" t="s">
        <v>512</v>
      </c>
      <c r="K6" s="5" t="s">
        <v>512</v>
      </c>
    </row>
    <row r="7" spans="1:11" ht="28.5">
      <c r="A7" s="1" t="s">
        <v>115</v>
      </c>
      <c r="B7" s="1" t="s">
        <v>191</v>
      </c>
      <c r="C7" s="1" t="s">
        <v>407</v>
      </c>
      <c r="D7" s="1" t="s">
        <v>522</v>
      </c>
      <c r="E7" s="1" t="s">
        <v>408</v>
      </c>
      <c r="F7" s="1" t="s">
        <v>409</v>
      </c>
      <c r="G7" s="1" t="s">
        <v>410</v>
      </c>
      <c r="H7" s="1" t="s">
        <v>411</v>
      </c>
      <c r="I7" s="1" t="s">
        <v>412</v>
      </c>
      <c r="J7" s="5" t="s">
        <v>512</v>
      </c>
      <c r="K7" s="5" t="s">
        <v>512</v>
      </c>
    </row>
    <row r="8" spans="1:11" ht="28.5">
      <c r="A8" s="1" t="s">
        <v>371</v>
      </c>
      <c r="B8" s="1" t="s">
        <v>413</v>
      </c>
      <c r="C8" s="1" t="s">
        <v>414</v>
      </c>
      <c r="D8" s="1" t="s">
        <v>415</v>
      </c>
      <c r="E8" s="1" t="s">
        <v>416</v>
      </c>
      <c r="F8" s="1" t="s">
        <v>417</v>
      </c>
      <c r="G8" s="1" t="s">
        <v>418</v>
      </c>
      <c r="H8" s="1" t="s">
        <v>419</v>
      </c>
      <c r="I8" s="1" t="s">
        <v>523</v>
      </c>
      <c r="J8" s="5" t="s">
        <v>512</v>
      </c>
      <c r="K8" s="5" t="s">
        <v>512</v>
      </c>
    </row>
    <row r="9" spans="1:11" ht="28.5">
      <c r="A9" s="1" t="s">
        <v>420</v>
      </c>
      <c r="B9" s="1" t="s">
        <v>421</v>
      </c>
      <c r="C9" s="1" t="s">
        <v>422</v>
      </c>
      <c r="D9" s="1" t="s">
        <v>524</v>
      </c>
      <c r="E9" s="1" t="s">
        <v>423</v>
      </c>
      <c r="F9" s="1" t="s">
        <v>424</v>
      </c>
      <c r="G9" s="1" t="s">
        <v>425</v>
      </c>
      <c r="H9" s="1" t="s">
        <v>426</v>
      </c>
      <c r="I9" s="1" t="s">
        <v>427</v>
      </c>
      <c r="J9" s="5" t="s">
        <v>512</v>
      </c>
      <c r="K9" s="5" t="s">
        <v>512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workbookViewId="0"/>
  </sheetViews>
  <sheetFormatPr defaultRowHeight="14.25"/>
  <cols>
    <col min="1" max="2" width="55.625" customWidth="1"/>
    <col min="3" max="3" width="14" customWidth="1"/>
    <col min="4" max="4" width="55.625" customWidth="1"/>
    <col min="5" max="5" width="42" customWidth="1"/>
    <col min="6" max="6" width="44.625" customWidth="1"/>
    <col min="7" max="7" width="38" customWidth="1"/>
    <col min="8" max="8" width="22" customWidth="1"/>
    <col min="9" max="9" width="18" customWidth="1"/>
  </cols>
  <sheetData>
    <row r="1" spans="1:9" ht="18">
      <c r="A1" s="15" t="s">
        <v>127</v>
      </c>
      <c r="B1" s="15"/>
      <c r="C1" s="15"/>
      <c r="D1" s="15"/>
      <c r="E1" s="15"/>
      <c r="F1" s="15"/>
      <c r="G1" s="15"/>
      <c r="H1" s="15"/>
      <c r="I1" s="15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 ht="15">
      <c r="A3" s="10" t="s">
        <v>128</v>
      </c>
      <c r="B3" s="10" t="s">
        <v>129</v>
      </c>
      <c r="C3" s="10" t="s">
        <v>130</v>
      </c>
      <c r="D3" s="10" t="s">
        <v>16</v>
      </c>
      <c r="E3" s="10" t="s">
        <v>131</v>
      </c>
      <c r="F3" s="10" t="s">
        <v>52</v>
      </c>
      <c r="G3" s="10" t="s">
        <v>132</v>
      </c>
      <c r="H3" s="10" t="s">
        <v>99</v>
      </c>
      <c r="I3" s="10" t="s">
        <v>133</v>
      </c>
    </row>
    <row r="4" spans="1:9" ht="28.5">
      <c r="A4" s="1" t="s">
        <v>134</v>
      </c>
      <c r="B4" s="1" t="s">
        <v>428</v>
      </c>
      <c r="C4" s="1">
        <v>4</v>
      </c>
      <c r="D4" s="1" t="s">
        <v>429</v>
      </c>
      <c r="E4" s="1" t="s">
        <v>430</v>
      </c>
      <c r="F4" s="1" t="s">
        <v>135</v>
      </c>
      <c r="G4" s="1" t="s">
        <v>534</v>
      </c>
      <c r="H4" s="1" t="s">
        <v>329</v>
      </c>
      <c r="I4" s="1" t="s">
        <v>136</v>
      </c>
    </row>
    <row r="5" spans="1:9" ht="42.75">
      <c r="A5" s="1" t="s">
        <v>137</v>
      </c>
      <c r="B5" s="1" t="s">
        <v>431</v>
      </c>
      <c r="C5" s="1">
        <v>3</v>
      </c>
      <c r="D5" s="1" t="s">
        <v>432</v>
      </c>
      <c r="E5" s="1" t="s">
        <v>433</v>
      </c>
      <c r="F5" s="1" t="s">
        <v>434</v>
      </c>
      <c r="G5" s="1" t="s">
        <v>534</v>
      </c>
      <c r="H5" s="1" t="s">
        <v>329</v>
      </c>
      <c r="I5" s="1" t="s">
        <v>138</v>
      </c>
    </row>
    <row r="6" spans="1:9" ht="28.5">
      <c r="A6" s="1" t="s">
        <v>139</v>
      </c>
      <c r="B6" s="1" t="s">
        <v>435</v>
      </c>
      <c r="C6" s="1">
        <v>4</v>
      </c>
      <c r="D6" s="1" t="s">
        <v>436</v>
      </c>
      <c r="E6" s="1" t="s">
        <v>437</v>
      </c>
      <c r="F6" s="1" t="s">
        <v>438</v>
      </c>
      <c r="G6" s="1" t="s">
        <v>534</v>
      </c>
      <c r="H6" s="1" t="s">
        <v>329</v>
      </c>
      <c r="I6" s="1" t="s">
        <v>136</v>
      </c>
    </row>
    <row r="7" spans="1:9" ht="28.5">
      <c r="A7" s="1" t="s">
        <v>140</v>
      </c>
      <c r="B7" s="1" t="s">
        <v>439</v>
      </c>
      <c r="C7" s="1">
        <v>3</v>
      </c>
      <c r="D7" s="1" t="s">
        <v>440</v>
      </c>
      <c r="E7" s="1" t="s">
        <v>525</v>
      </c>
      <c r="F7" s="1" t="s">
        <v>441</v>
      </c>
      <c r="G7" s="1" t="s">
        <v>534</v>
      </c>
      <c r="H7" s="1" t="s">
        <v>329</v>
      </c>
      <c r="I7" s="1" t="s">
        <v>138</v>
      </c>
    </row>
    <row r="8" spans="1:9">
      <c r="A8" s="1" t="s">
        <v>141</v>
      </c>
      <c r="B8" s="1" t="s">
        <v>442</v>
      </c>
      <c r="C8" s="1">
        <v>3</v>
      </c>
      <c r="D8" s="1" t="s">
        <v>443</v>
      </c>
      <c r="E8" s="1" t="s">
        <v>444</v>
      </c>
      <c r="F8" s="1" t="s">
        <v>445</v>
      </c>
      <c r="G8" s="1" t="s">
        <v>534</v>
      </c>
      <c r="H8" s="1" t="s">
        <v>329</v>
      </c>
      <c r="I8" s="1" t="s">
        <v>138</v>
      </c>
    </row>
    <row r="9" spans="1:9" ht="28.5">
      <c r="A9" s="1" t="s">
        <v>142</v>
      </c>
      <c r="B9" s="1" t="s">
        <v>446</v>
      </c>
      <c r="C9" s="1">
        <v>3</v>
      </c>
      <c r="D9" s="1" t="s">
        <v>447</v>
      </c>
      <c r="E9" s="1" t="s">
        <v>448</v>
      </c>
      <c r="F9" s="1" t="s">
        <v>513</v>
      </c>
      <c r="G9" s="1" t="s">
        <v>534</v>
      </c>
      <c r="H9" s="1" t="s">
        <v>329</v>
      </c>
      <c r="I9" s="1" t="s">
        <v>138</v>
      </c>
    </row>
  </sheetData>
  <mergeCells count="1">
    <mergeCell ref="A1:I1"/>
  </mergeCells>
  <conditionalFormatting sqref="C4:C9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type="whole" sqref="C4:C9" xr:uid="{00000000-0002-0000-0700-000000000000}">
      <formula1>1</formula1>
      <formula2>5</formula2>
    </dataValidation>
    <dataValidation type="list" sqref="I4:I9" xr:uid="{00000000-0002-0000-0700-000001000000}">
      <formula1>"Не начато,В работе,Готово,Требует решения"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/>
  </sheetViews>
  <sheetFormatPr defaultRowHeight="14.25"/>
  <cols>
    <col min="1" max="1" width="55.625" customWidth="1"/>
    <col min="2" max="2" width="32" customWidth="1"/>
    <col min="3" max="3" width="55.625" customWidth="1"/>
    <col min="4" max="4" width="18" customWidth="1"/>
    <col min="5" max="5" width="16.625" customWidth="1"/>
    <col min="6" max="6" width="12.625" customWidth="1"/>
    <col min="7" max="7" width="14" customWidth="1"/>
    <col min="8" max="8" width="55.625" customWidth="1"/>
    <col min="9" max="9" width="18" customWidth="1"/>
    <col min="10" max="10" width="22" customWidth="1"/>
  </cols>
  <sheetData>
    <row r="1" spans="1:10" ht="18">
      <c r="A1" s="15" t="s">
        <v>143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8"/>
      <c r="B2" s="8"/>
      <c r="C2" s="8"/>
      <c r="D2" s="8"/>
      <c r="E2" s="8"/>
      <c r="F2" s="8"/>
      <c r="G2" s="8"/>
      <c r="H2" s="8"/>
      <c r="I2" s="8"/>
      <c r="J2" s="8"/>
    </row>
    <row r="3" spans="1:10" ht="15">
      <c r="A3" s="10" t="s">
        <v>33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99</v>
      </c>
    </row>
    <row r="4" spans="1:10" ht="28.5">
      <c r="A4" s="1" t="s">
        <v>152</v>
      </c>
      <c r="B4" s="1" t="s">
        <v>71</v>
      </c>
      <c r="C4" s="1" t="s">
        <v>449</v>
      </c>
      <c r="D4" s="1" t="s">
        <v>450</v>
      </c>
      <c r="E4" s="1">
        <v>4</v>
      </c>
      <c r="F4" s="1">
        <v>5</v>
      </c>
      <c r="G4" s="3">
        <f t="shared" ref="G4:G11" si="0">IF(A4="","",E4*F4)</f>
        <v>20</v>
      </c>
      <c r="H4" s="1" t="s">
        <v>526</v>
      </c>
      <c r="I4" s="1" t="s">
        <v>89</v>
      </c>
      <c r="J4" s="1" t="s">
        <v>329</v>
      </c>
    </row>
    <row r="5" spans="1:10" ht="28.5">
      <c r="A5" s="1" t="s">
        <v>153</v>
      </c>
      <c r="B5" s="1" t="s">
        <v>66</v>
      </c>
      <c r="C5" s="1" t="s">
        <v>527</v>
      </c>
      <c r="D5" s="1" t="s">
        <v>139</v>
      </c>
      <c r="E5" s="1">
        <v>4</v>
      </c>
      <c r="F5" s="1">
        <v>4</v>
      </c>
      <c r="G5" s="3">
        <f t="shared" si="0"/>
        <v>16</v>
      </c>
      <c r="H5" s="1" t="s">
        <v>451</v>
      </c>
      <c r="I5" s="1" t="s">
        <v>89</v>
      </c>
      <c r="J5" s="1" t="s">
        <v>329</v>
      </c>
    </row>
    <row r="6" spans="1:10">
      <c r="A6" s="1" t="s">
        <v>155</v>
      </c>
      <c r="B6" s="1" t="s">
        <v>302</v>
      </c>
      <c r="C6" s="1" t="s">
        <v>452</v>
      </c>
      <c r="D6" s="1" t="s">
        <v>154</v>
      </c>
      <c r="E6" s="1">
        <v>3</v>
      </c>
      <c r="F6" s="1">
        <v>5</v>
      </c>
      <c r="G6" s="3">
        <f t="shared" si="0"/>
        <v>15</v>
      </c>
      <c r="H6" s="1" t="s">
        <v>453</v>
      </c>
      <c r="I6" s="1" t="s">
        <v>89</v>
      </c>
      <c r="J6" s="1" t="s">
        <v>329</v>
      </c>
    </row>
    <row r="7" spans="1:10" ht="28.5">
      <c r="A7" s="1" t="s">
        <v>454</v>
      </c>
      <c r="B7" s="1" t="s">
        <v>69</v>
      </c>
      <c r="C7" s="1" t="s">
        <v>455</v>
      </c>
      <c r="D7" s="1" t="s">
        <v>134</v>
      </c>
      <c r="E7" s="1">
        <v>3</v>
      </c>
      <c r="F7" s="1">
        <v>4</v>
      </c>
      <c r="G7" s="3">
        <f t="shared" si="0"/>
        <v>12</v>
      </c>
      <c r="H7" s="1" t="s">
        <v>456</v>
      </c>
      <c r="I7" s="1" t="s">
        <v>112</v>
      </c>
      <c r="J7" s="1" t="s">
        <v>329</v>
      </c>
    </row>
    <row r="8" spans="1:10">
      <c r="A8" s="1" t="s">
        <v>457</v>
      </c>
      <c r="B8" s="1" t="s">
        <v>252</v>
      </c>
      <c r="C8" s="1" t="s">
        <v>458</v>
      </c>
      <c r="D8" s="1" t="s">
        <v>459</v>
      </c>
      <c r="E8" s="1">
        <v>4</v>
      </c>
      <c r="F8" s="1">
        <v>4</v>
      </c>
      <c r="G8" s="3">
        <f t="shared" si="0"/>
        <v>16</v>
      </c>
      <c r="H8" s="1" t="s">
        <v>460</v>
      </c>
      <c r="I8" s="1" t="s">
        <v>112</v>
      </c>
      <c r="J8" s="1" t="s">
        <v>329</v>
      </c>
    </row>
    <row r="9" spans="1:10" ht="28.5">
      <c r="A9" s="1" t="s">
        <v>461</v>
      </c>
      <c r="B9" s="1" t="s">
        <v>61</v>
      </c>
      <c r="C9" s="1" t="s">
        <v>462</v>
      </c>
      <c r="D9" s="1" t="s">
        <v>463</v>
      </c>
      <c r="E9" s="1">
        <v>3</v>
      </c>
      <c r="F9" s="1">
        <v>3</v>
      </c>
      <c r="G9" s="3">
        <f t="shared" si="0"/>
        <v>9</v>
      </c>
      <c r="H9" s="1" t="s">
        <v>464</v>
      </c>
      <c r="I9" s="1" t="s">
        <v>112</v>
      </c>
      <c r="J9" s="1" t="s">
        <v>329</v>
      </c>
    </row>
    <row r="10" spans="1:10" ht="28.5">
      <c r="A10" s="1" t="s">
        <v>465</v>
      </c>
      <c r="B10" s="1" t="s">
        <v>259</v>
      </c>
      <c r="C10" s="1" t="s">
        <v>466</v>
      </c>
      <c r="D10" s="1" t="s">
        <v>450</v>
      </c>
      <c r="E10" s="1">
        <v>5</v>
      </c>
      <c r="F10" s="1">
        <v>4</v>
      </c>
      <c r="G10" s="3">
        <f t="shared" si="0"/>
        <v>20</v>
      </c>
      <c r="H10" s="1" t="s">
        <v>528</v>
      </c>
      <c r="I10" s="1" t="s">
        <v>371</v>
      </c>
      <c r="J10" s="1" t="s">
        <v>329</v>
      </c>
    </row>
    <row r="11" spans="1:10" ht="28.5">
      <c r="A11" s="1" t="s">
        <v>467</v>
      </c>
      <c r="B11" s="1" t="s">
        <v>306</v>
      </c>
      <c r="C11" s="1" t="s">
        <v>468</v>
      </c>
      <c r="D11" s="1" t="s">
        <v>469</v>
      </c>
      <c r="E11" s="1">
        <v>3</v>
      </c>
      <c r="F11" s="1">
        <v>5</v>
      </c>
      <c r="G11" s="3">
        <f t="shared" si="0"/>
        <v>15</v>
      </c>
      <c r="H11" s="1" t="s">
        <v>470</v>
      </c>
      <c r="I11" s="1" t="s">
        <v>89</v>
      </c>
      <c r="J11" s="1" t="s">
        <v>329</v>
      </c>
    </row>
  </sheetData>
  <mergeCells count="1">
    <mergeCell ref="A1:J1"/>
  </mergeCells>
  <conditionalFormatting sqref="G4:G11">
    <cfRule type="colorScale" priority="4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3">
    <dataValidation type="whole" sqref="E4:F11" xr:uid="{00000000-0002-0000-0800-000000000000}">
      <formula1>1</formula1>
      <formula2>5</formula2>
    </dataValidation>
    <dataValidation type="list" sqref="D4:D11" xr:uid="{00000000-0002-0000-0800-000001000000}">
      <formula1>"Ценность,Данные,Стоимость,Срок,Технология,Монетизация,Удержание,Рост"</formula1>
    </dataValidation>
    <dataValidation type="list" sqref="I4:I11" xr:uid="{00000000-0002-0000-0800-000002000000}">
      <formula1>"Первый релиз,Следующий релиз,Бэклог"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9"/>
  <sheetViews>
    <sheetView workbookViewId="0"/>
  </sheetViews>
  <sheetFormatPr defaultRowHeight="14.25"/>
  <cols>
    <col min="1" max="1" width="52" customWidth="1"/>
    <col min="2" max="2" width="18" customWidth="1"/>
    <col min="3" max="3" width="26" customWidth="1"/>
    <col min="4" max="4" width="24" customWidth="1"/>
    <col min="5" max="5" width="28" customWidth="1"/>
    <col min="6" max="6" width="16" customWidth="1"/>
  </cols>
  <sheetData>
    <row r="1" spans="1:11" ht="16.149999999999999" customHeight="1">
      <c r="A1" s="15" t="s">
        <v>157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8" customHeight="1">
      <c r="A3" s="10" t="s">
        <v>158</v>
      </c>
      <c r="B3" s="10" t="s">
        <v>159</v>
      </c>
      <c r="C3" s="10" t="s">
        <v>88</v>
      </c>
      <c r="D3" s="11"/>
      <c r="E3" s="10" t="s">
        <v>79</v>
      </c>
      <c r="F3" s="10" t="s">
        <v>160</v>
      </c>
      <c r="G3" s="8"/>
      <c r="H3" s="8"/>
      <c r="I3" s="8"/>
      <c r="J3" s="8"/>
      <c r="K3" s="8"/>
    </row>
    <row r="4" spans="1:11" ht="57">
      <c r="A4" s="9" t="s">
        <v>161</v>
      </c>
      <c r="B4" s="3">
        <f>COUNTA(Реестр_единиц!$A$2:$A$101)</f>
        <v>20</v>
      </c>
      <c r="C4" s="1" t="s">
        <v>162</v>
      </c>
      <c r="D4" s="11"/>
      <c r="E4" s="9" t="s">
        <v>89</v>
      </c>
      <c r="F4" s="3">
        <f>COUNTIF(Реестр_единиц!$S$2:$S$101,E4)</f>
        <v>10</v>
      </c>
      <c r="G4" s="8"/>
      <c r="H4" s="8"/>
      <c r="I4" s="8"/>
      <c r="J4" s="8"/>
      <c r="K4" s="8"/>
    </row>
    <row r="5" spans="1:11" ht="28.5">
      <c r="A5" s="9" t="s">
        <v>163</v>
      </c>
      <c r="B5" s="3">
        <f>COUNTIF(Реестр_единиц!$S$2:$S$101,"Первый релиз")</f>
        <v>10</v>
      </c>
      <c r="C5" s="1" t="s">
        <v>164</v>
      </c>
      <c r="D5" s="11"/>
      <c r="E5" s="9" t="s">
        <v>90</v>
      </c>
      <c r="F5" s="3">
        <f>COUNTIF(Реестр_единиц!$S$2:$S$101,E5)</f>
        <v>1</v>
      </c>
      <c r="G5" s="8"/>
      <c r="H5" s="8"/>
      <c r="I5" s="8"/>
      <c r="J5" s="8"/>
      <c r="K5" s="8"/>
    </row>
    <row r="6" spans="1:11" ht="42.75">
      <c r="A6" s="9" t="s">
        <v>81</v>
      </c>
      <c r="B6" s="4">
        <f>IFERROR(AVERAGEIF(Реестр_единиц!$S$2:$S$101,"Первый релиз",Реестр_единиц!$Q$2:$Q$101),0)</f>
        <v>4.3029999999999999</v>
      </c>
      <c r="C6" s="1" t="s">
        <v>165</v>
      </c>
      <c r="D6" s="11"/>
      <c r="E6" s="9" t="s">
        <v>91</v>
      </c>
      <c r="F6" s="3">
        <f>COUNTIF(Реестр_единиц!$S$2:$S$101,E6)</f>
        <v>9</v>
      </c>
      <c r="G6" s="8"/>
      <c r="H6" s="8"/>
      <c r="I6" s="8"/>
      <c r="J6" s="8"/>
      <c r="K6" s="8"/>
    </row>
    <row r="7" spans="1:11" ht="42.75">
      <c r="A7" s="9" t="s">
        <v>166</v>
      </c>
      <c r="B7" s="4">
        <f>IFERROR(AVERAGEIF(Реестр_единиц!$S$2:$S$101,"Первый релиз",Реестр_единиц!$G$2:$G$101),0)</f>
        <v>4.4000000000000004</v>
      </c>
      <c r="C7" s="1" t="s">
        <v>167</v>
      </c>
      <c r="D7" s="11"/>
      <c r="E7" s="11"/>
      <c r="F7" s="11"/>
      <c r="G7" s="8"/>
      <c r="H7" s="8"/>
      <c r="I7" s="8"/>
      <c r="J7" s="8"/>
      <c r="K7" s="8"/>
    </row>
    <row r="8" spans="1:11" ht="15">
      <c r="A8" s="9" t="s">
        <v>168</v>
      </c>
      <c r="B8" s="4">
        <f>IFERROR(AVERAGEIF(Реестр_единиц!$S$2:$S$101,"Первый релиз",Реестр_единиц!$O$2:$O$101),0)</f>
        <v>1.9</v>
      </c>
      <c r="C8" s="1" t="s">
        <v>169</v>
      </c>
      <c r="D8" s="11"/>
      <c r="E8" s="11"/>
      <c r="F8" s="11"/>
      <c r="G8" s="8"/>
      <c r="H8" s="8"/>
      <c r="I8" s="8"/>
      <c r="J8" s="8"/>
      <c r="K8" s="8"/>
    </row>
    <row r="9" spans="1:11" ht="57">
      <c r="A9" s="9" t="s">
        <v>170</v>
      </c>
      <c r="B9" s="4">
        <f>IFERROR(AVERAGE(Проверка_ценности!$C$4:$C$9),0)</f>
        <v>3.3333333333333335</v>
      </c>
      <c r="C9" s="1" t="s">
        <v>171</v>
      </c>
      <c r="D9" s="11"/>
      <c r="E9" s="11"/>
      <c r="F9" s="11"/>
      <c r="G9" s="8"/>
      <c r="H9" s="8"/>
      <c r="I9" s="8"/>
      <c r="J9" s="8"/>
      <c r="K9" s="8"/>
    </row>
    <row r="10" spans="1:11">
      <c r="A10" s="11"/>
      <c r="B10" s="11"/>
      <c r="C10" s="11"/>
      <c r="D10" s="11"/>
      <c r="E10" s="11"/>
      <c r="F10" s="11"/>
      <c r="G10" s="8"/>
      <c r="H10" s="8"/>
      <c r="I10" s="8"/>
      <c r="J10" s="8"/>
      <c r="K10" s="8"/>
    </row>
    <row r="11" spans="1:11">
      <c r="A11" s="11"/>
      <c r="B11" s="11"/>
      <c r="C11" s="11"/>
      <c r="D11" s="11"/>
      <c r="E11" s="11"/>
      <c r="F11" s="11"/>
      <c r="G11" s="8"/>
      <c r="H11" s="8"/>
      <c r="I11" s="8"/>
      <c r="J11" s="8"/>
      <c r="K11" s="8"/>
    </row>
    <row r="12" spans="1:11" ht="30">
      <c r="A12" s="10" t="s">
        <v>172</v>
      </c>
      <c r="B12" s="10" t="s">
        <v>173</v>
      </c>
      <c r="C12" s="11"/>
      <c r="D12" s="11"/>
      <c r="E12" s="11"/>
      <c r="F12" s="11"/>
      <c r="G12" s="8"/>
      <c r="H12" s="8"/>
      <c r="I12" s="8"/>
      <c r="J12" s="8"/>
      <c r="K12" s="8"/>
    </row>
    <row r="13" spans="1:11" ht="15">
      <c r="A13" s="9" t="s">
        <v>134</v>
      </c>
      <c r="B13" s="4">
        <f>IFERROR(AVERAGEIF(Реестр_единиц!$S$2:$S$101,"Первый релиз",Реестр_единиц!$G$2:$G$101),0)</f>
        <v>4.4000000000000004</v>
      </c>
      <c r="C13" s="11"/>
      <c r="D13" s="11"/>
      <c r="E13" s="11"/>
      <c r="F13" s="11"/>
      <c r="G13" s="8"/>
      <c r="H13" s="8"/>
      <c r="I13" s="8"/>
      <c r="J13" s="8"/>
      <c r="K13" s="8"/>
    </row>
    <row r="14" spans="1:11" ht="15">
      <c r="A14" s="9" t="s">
        <v>174</v>
      </c>
      <c r="B14" s="4">
        <f>IFERROR(AVERAGEIF(Реестр_единиц!$S$2:$S$101,"Первый релиз",Реестр_единиц!$H$2:$H$101),0)</f>
        <v>3.8</v>
      </c>
      <c r="C14" s="11"/>
      <c r="D14" s="11"/>
      <c r="E14" s="11"/>
      <c r="F14" s="11"/>
      <c r="G14" s="8"/>
      <c r="H14" s="8"/>
      <c r="I14" s="8"/>
      <c r="J14" s="8"/>
      <c r="K14" s="8"/>
    </row>
    <row r="15" spans="1:11" ht="15">
      <c r="A15" s="9" t="s">
        <v>140</v>
      </c>
      <c r="B15" s="4">
        <f>IFERROR(AVERAGEIF(Реестр_единиц!$S$2:$S$101,"Первый релиз",Реестр_единиц!$I$2:$I$101),0)</f>
        <v>3.2</v>
      </c>
      <c r="C15" s="11"/>
      <c r="D15" s="11"/>
      <c r="E15" s="11"/>
      <c r="F15" s="11"/>
      <c r="G15" s="8"/>
      <c r="H15" s="8"/>
      <c r="I15" s="8"/>
      <c r="J15" s="8"/>
      <c r="K15" s="8"/>
    </row>
    <row r="16" spans="1:11" ht="15">
      <c r="A16" s="9" t="s">
        <v>141</v>
      </c>
      <c r="B16" s="4">
        <f>IFERROR(AVERAGEIF(Реестр_единиц!$S$2:$S$101,"Первый релиз",Реестр_единиц!$J$2:$J$101),0)</f>
        <v>3.2</v>
      </c>
      <c r="C16" s="11"/>
      <c r="D16" s="11"/>
      <c r="E16" s="11"/>
      <c r="F16" s="11"/>
      <c r="G16" s="8"/>
      <c r="H16" s="8"/>
      <c r="I16" s="8"/>
      <c r="J16" s="8"/>
      <c r="K16" s="8"/>
    </row>
    <row r="17" spans="1:11" ht="15">
      <c r="A17" s="9" t="s">
        <v>175</v>
      </c>
      <c r="B17" s="4">
        <f>IFERROR(AVERAGEIF(Реестр_единиц!$S$2:$S$101,"Первый релиз",Реестр_единиц!$K$2:$K$101),0)</f>
        <v>4</v>
      </c>
      <c r="C17" s="11"/>
      <c r="D17" s="11"/>
      <c r="E17" s="11"/>
      <c r="F17" s="11"/>
      <c r="G17" s="8"/>
      <c r="H17" s="8"/>
      <c r="I17" s="8"/>
      <c r="J17" s="8"/>
      <c r="K17" s="8"/>
    </row>
    <row r="18" spans="1:11" ht="15">
      <c r="A18" s="9" t="s">
        <v>176</v>
      </c>
      <c r="B18" s="4">
        <f>IFERROR(AVERAGEIF(Реестр_единиц!$S$2:$S$101,"Первый релиз",Реестр_единиц!$M$2:$M$101),0)</f>
        <v>4.0999999999999996</v>
      </c>
      <c r="C18" s="11"/>
      <c r="D18" s="11"/>
      <c r="E18" s="11"/>
      <c r="F18" s="11"/>
      <c r="G18" s="8"/>
      <c r="H18" s="8"/>
      <c r="I18" s="8"/>
      <c r="J18" s="8"/>
      <c r="K18" s="8"/>
    </row>
    <row r="19" spans="1:11" ht="15">
      <c r="A19" s="9" t="s">
        <v>177</v>
      </c>
      <c r="B19" s="4">
        <f>IFERROR(AVERAGEIF(Реестр_единиц!$S$2:$S$101,"Первый релиз",Реестр_единиц!$N$2:$N$101),0)</f>
        <v>4.0999999999999996</v>
      </c>
      <c r="C19" s="11"/>
      <c r="D19" s="11"/>
      <c r="E19" s="11"/>
      <c r="F19" s="11"/>
      <c r="G19" s="8"/>
      <c r="H19" s="8"/>
      <c r="I19" s="8"/>
      <c r="J19" s="8"/>
      <c r="K19" s="8"/>
    </row>
  </sheetData>
  <mergeCells count="1">
    <mergeCell ref="A1:K1"/>
  </mergeCells>
  <conditionalFormatting sqref="B13:B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B13:B19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>
      <selection sqref="A1:H1"/>
    </sheetView>
  </sheetViews>
  <sheetFormatPr defaultRowHeight="14.25"/>
  <cols>
    <col min="1" max="1" width="51.625" customWidth="1"/>
    <col min="2" max="2" width="20" customWidth="1"/>
    <col min="3" max="3" width="26.625" customWidth="1"/>
    <col min="4" max="4" width="28.625" customWidth="1"/>
    <col min="5" max="5" width="28" customWidth="1"/>
    <col min="6" max="6" width="22" customWidth="1"/>
    <col min="7" max="7" width="18" customWidth="1"/>
    <col min="8" max="8" width="25.625" customWidth="1"/>
  </cols>
  <sheetData>
    <row r="1" spans="1:8" ht="18">
      <c r="A1" s="15" t="s">
        <v>178</v>
      </c>
      <c r="B1" s="15"/>
      <c r="C1" s="15"/>
      <c r="D1" s="15"/>
      <c r="E1" s="15"/>
      <c r="F1" s="15"/>
      <c r="G1" s="15"/>
      <c r="H1" s="15"/>
    </row>
    <row r="2" spans="1:8">
      <c r="A2" s="8"/>
      <c r="B2" s="8"/>
      <c r="C2" s="8"/>
      <c r="D2" s="8"/>
      <c r="E2" s="8"/>
      <c r="F2" s="8"/>
      <c r="G2" s="8"/>
      <c r="H2" s="8"/>
    </row>
    <row r="3" spans="1:8" ht="15">
      <c r="A3" s="10" t="s">
        <v>11</v>
      </c>
      <c r="B3" s="10" t="s">
        <v>133</v>
      </c>
      <c r="C3" s="10" t="s">
        <v>34</v>
      </c>
      <c r="D3" s="10" t="s">
        <v>38</v>
      </c>
      <c r="E3" s="10" t="s">
        <v>51</v>
      </c>
      <c r="F3" s="10" t="s">
        <v>179</v>
      </c>
      <c r="G3" s="10" t="s">
        <v>146</v>
      </c>
      <c r="H3" s="10" t="s">
        <v>180</v>
      </c>
    </row>
    <row r="4" spans="1:8">
      <c r="A4" s="11" t="s">
        <v>181</v>
      </c>
      <c r="B4" s="11" t="s">
        <v>182</v>
      </c>
      <c r="C4" s="11" t="s">
        <v>57</v>
      </c>
      <c r="D4" s="11" t="s">
        <v>183</v>
      </c>
      <c r="E4" s="11" t="s">
        <v>89</v>
      </c>
      <c r="F4" s="11" t="s">
        <v>490</v>
      </c>
      <c r="G4" s="11" t="s">
        <v>134</v>
      </c>
      <c r="H4" s="11" t="s">
        <v>184</v>
      </c>
    </row>
    <row r="5" spans="1:8">
      <c r="A5" s="11" t="s">
        <v>23</v>
      </c>
      <c r="B5" s="11" t="s">
        <v>138</v>
      </c>
      <c r="C5" s="11" t="s">
        <v>55</v>
      </c>
      <c r="D5" s="11" t="s">
        <v>28</v>
      </c>
      <c r="E5" s="11" t="s">
        <v>90</v>
      </c>
      <c r="F5" s="11" t="s">
        <v>491</v>
      </c>
      <c r="G5" s="11" t="s">
        <v>154</v>
      </c>
      <c r="H5" s="11" t="s">
        <v>185</v>
      </c>
    </row>
    <row r="6" spans="1:8">
      <c r="A6" s="11" t="s">
        <v>26</v>
      </c>
      <c r="B6" s="11" t="s">
        <v>136</v>
      </c>
      <c r="C6" s="11" t="s">
        <v>60</v>
      </c>
      <c r="D6" s="11" t="s">
        <v>77</v>
      </c>
      <c r="E6" s="11" t="s">
        <v>91</v>
      </c>
      <c r="F6" s="11" t="s">
        <v>492</v>
      </c>
      <c r="G6" s="11" t="s">
        <v>156</v>
      </c>
      <c r="H6" s="11" t="s">
        <v>140</v>
      </c>
    </row>
    <row r="7" spans="1:8">
      <c r="A7" s="11" t="s">
        <v>186</v>
      </c>
      <c r="B7" s="11" t="s">
        <v>187</v>
      </c>
      <c r="C7" s="11" t="s">
        <v>64</v>
      </c>
      <c r="D7" s="11" t="s">
        <v>75</v>
      </c>
      <c r="E7" s="11"/>
      <c r="F7" s="11" t="s">
        <v>493</v>
      </c>
      <c r="G7" s="11" t="s">
        <v>188</v>
      </c>
      <c r="H7" s="11" t="s">
        <v>189</v>
      </c>
    </row>
    <row r="8" spans="1:8">
      <c r="A8" s="11" t="s">
        <v>28</v>
      </c>
      <c r="B8" s="11"/>
      <c r="C8" s="11" t="s">
        <v>70</v>
      </c>
      <c r="D8" s="11" t="s">
        <v>58</v>
      </c>
      <c r="E8" s="11"/>
      <c r="F8" s="11" t="s">
        <v>494</v>
      </c>
      <c r="G8" s="11" t="s">
        <v>190</v>
      </c>
      <c r="H8" s="11" t="s">
        <v>191</v>
      </c>
    </row>
    <row r="9" spans="1:8">
      <c r="A9" s="11" t="s">
        <v>192</v>
      </c>
      <c r="B9" s="11"/>
      <c r="C9" s="11" t="s">
        <v>62</v>
      </c>
      <c r="D9" s="11" t="s">
        <v>68</v>
      </c>
      <c r="E9" s="11"/>
      <c r="F9" s="11"/>
      <c r="G9" s="11" t="s">
        <v>139</v>
      </c>
      <c r="H9" s="11" t="s">
        <v>193</v>
      </c>
    </row>
    <row r="10" spans="1:8">
      <c r="A10" s="11" t="s">
        <v>30</v>
      </c>
      <c r="B10" s="11"/>
      <c r="C10" s="11" t="s">
        <v>72</v>
      </c>
      <c r="D10" s="11" t="s">
        <v>73</v>
      </c>
      <c r="E10" s="11"/>
      <c r="F10" s="11"/>
      <c r="G10" s="11" t="s">
        <v>140</v>
      </c>
      <c r="H10" s="11" t="s">
        <v>194</v>
      </c>
    </row>
    <row r="11" spans="1:8">
      <c r="A11" s="11" t="s">
        <v>32</v>
      </c>
      <c r="B11" s="11"/>
      <c r="C11" s="11" t="s">
        <v>67</v>
      </c>
      <c r="D11" s="11" t="s">
        <v>65</v>
      </c>
      <c r="E11" s="11"/>
      <c r="F11" s="11"/>
      <c r="G11" s="11" t="s">
        <v>141</v>
      </c>
      <c r="H11" s="11" t="s">
        <v>195</v>
      </c>
    </row>
    <row r="12" spans="1:8">
      <c r="A12" s="11" t="s">
        <v>196</v>
      </c>
      <c r="B12" s="11"/>
      <c r="C12" s="11"/>
      <c r="D12" s="11" t="s">
        <v>197</v>
      </c>
      <c r="E12" s="11"/>
      <c r="F12" s="11"/>
      <c r="G12" s="11"/>
      <c r="H12" s="11" t="s">
        <v>198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C6A8-75A2-458F-BF56-3821BA9E13F5}">
  <dimension ref="A1:C10"/>
  <sheetViews>
    <sheetView workbookViewId="0"/>
  </sheetViews>
  <sheetFormatPr defaultRowHeight="12.75"/>
  <cols>
    <col min="1" max="1" width="55.625" style="6" customWidth="1"/>
    <col min="2" max="2" width="9.625" style="6" customWidth="1"/>
    <col min="3" max="3" width="60.625" style="6" customWidth="1"/>
    <col min="4" max="16384" width="9" style="6"/>
  </cols>
  <sheetData>
    <row r="1" spans="1:3" ht="31.5">
      <c r="A1" s="12" t="s">
        <v>471</v>
      </c>
      <c r="B1" s="13"/>
      <c r="C1" s="13"/>
    </row>
    <row r="2" spans="1:3">
      <c r="A2" s="13"/>
      <c r="B2" s="13"/>
      <c r="C2" s="13"/>
    </row>
    <row r="3" spans="1:3">
      <c r="A3" s="14" t="s">
        <v>472</v>
      </c>
      <c r="B3" s="14" t="s">
        <v>473</v>
      </c>
      <c r="C3" s="14" t="s">
        <v>474</v>
      </c>
    </row>
    <row r="4" spans="1:3" ht="38.25">
      <c r="A4" s="7" t="s">
        <v>475</v>
      </c>
      <c r="B4" s="7" t="s">
        <v>476</v>
      </c>
      <c r="C4" s="7" t="s">
        <v>529</v>
      </c>
    </row>
    <row r="5" spans="1:3" ht="25.5">
      <c r="A5" s="7" t="s">
        <v>477</v>
      </c>
      <c r="B5" s="7" t="s">
        <v>478</v>
      </c>
      <c r="C5" s="7" t="s">
        <v>515</v>
      </c>
    </row>
    <row r="6" spans="1:3" ht="76.5">
      <c r="A6" s="7" t="s">
        <v>479</v>
      </c>
      <c r="B6" s="7" t="s">
        <v>480</v>
      </c>
      <c r="C6" s="7" t="s">
        <v>516</v>
      </c>
    </row>
    <row r="7" spans="1:3" ht="102">
      <c r="A7" s="7" t="s">
        <v>481</v>
      </c>
      <c r="B7" s="7" t="s">
        <v>482</v>
      </c>
      <c r="C7" s="7" t="s">
        <v>530</v>
      </c>
    </row>
    <row r="8" spans="1:3" ht="76.5">
      <c r="A8" s="7" t="s">
        <v>483</v>
      </c>
      <c r="B8" s="7" t="s">
        <v>484</v>
      </c>
      <c r="C8" s="7" t="s">
        <v>531</v>
      </c>
    </row>
    <row r="9" spans="1:3" ht="38.25">
      <c r="A9" s="7" t="s">
        <v>485</v>
      </c>
      <c r="B9" s="7" t="s">
        <v>486</v>
      </c>
      <c r="C9" s="7" t="s">
        <v>532</v>
      </c>
    </row>
    <row r="10" spans="1:3" ht="38.25">
      <c r="A10" s="7" t="s">
        <v>487</v>
      </c>
      <c r="B10" s="7" t="s">
        <v>488</v>
      </c>
      <c r="C10" s="7" t="s">
        <v>533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Инструкция</vt:lpstr>
      <vt:lpstr>Банк_анализа</vt:lpstr>
      <vt:lpstr>Реестр_единиц</vt:lpstr>
      <vt:lpstr>Оценка_релизов</vt:lpstr>
      <vt:lpstr>Первый_релиз</vt:lpstr>
      <vt:lpstr>Следующие_релизы</vt:lpstr>
      <vt:lpstr>Дорожная_карта</vt:lpstr>
      <vt:lpstr>Проверка_ценности</vt:lpstr>
      <vt:lpstr>Риски_зависимости</vt:lpstr>
      <vt:lpstr>Дашборд</vt:lpstr>
      <vt:lpstr>Справочники</vt:lpstr>
      <vt:lpstr>Журнал_6_5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Релизы NotaCode</dc:title>
  <dc:creator>К. А. Хаджинова</dc:creator>
  <dc:description/>
  <cp:lastModifiedBy>Aliaksandr Khajynau</cp:lastModifiedBy>
  <dcterms:created xsi:type="dcterms:W3CDTF">2026-10-04T16:53:28Z</dcterms:created>
  <dcterms:modified xsi:type="dcterms:W3CDTF">2026-10-04T19:31:28Z</dcterms:modified>
</cp:coreProperties>
</file>