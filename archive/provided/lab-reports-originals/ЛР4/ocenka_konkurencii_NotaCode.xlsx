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4\"/>
    </mc:Choice>
  </mc:AlternateContent>
  <xr:revisionPtr revIDLastSave="0" documentId="13_ncr:1_{957D19EB-DF11-4446-A32C-C7BCBF6970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B25" i="7" l="1"/>
  <c r="C25" i="7" s="1"/>
  <c r="B25" i="6"/>
  <c r="C25" i="6" s="1"/>
  <c r="B9" i="2"/>
  <c r="E13" i="8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L15" i="6"/>
  <c r="M15" i="6" s="1"/>
  <c r="L14" i="6"/>
  <c r="M14" i="6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7" i="6"/>
  <c r="M7" i="6" s="1"/>
  <c r="L6" i="6"/>
  <c r="M6" i="6" s="1"/>
  <c r="L5" i="6"/>
  <c r="M5" i="6" s="1"/>
  <c r="L4" i="6"/>
  <c r="M4" i="6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H13" i="9"/>
  <c r="H12" i="9"/>
  <c r="H11" i="9"/>
  <c r="H10" i="9"/>
  <c r="H9" i="9"/>
  <c r="H8" i="9"/>
  <c r="H7" i="9"/>
  <c r="H6" i="9"/>
  <c r="H5" i="9"/>
  <c r="D12" i="8"/>
  <c r="D11" i="8"/>
  <c r="D10" i="4"/>
  <c r="D6" i="4"/>
  <c r="D5" i="4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6" i="5" l="1"/>
  <c r="C16" i="5" s="1"/>
  <c r="B10" i="2"/>
  <c r="F5" i="3"/>
  <c r="F22" i="3"/>
  <c r="F20" i="3"/>
  <c r="F14" i="3"/>
  <c r="F10" i="3"/>
  <c r="F19" i="3"/>
  <c r="F13" i="3"/>
  <c r="F6" i="3"/>
  <c r="F21" i="3"/>
  <c r="F16" i="3"/>
  <c r="F11" i="3"/>
  <c r="F7" i="3"/>
  <c r="F18" i="3"/>
  <c r="F12" i="3"/>
  <c r="F8" i="3"/>
  <c r="F17" i="3"/>
  <c r="F15" i="3"/>
  <c r="F9" i="3"/>
  <c r="G13" i="9"/>
  <c r="G12" i="8"/>
  <c r="F12" i="8"/>
  <c r="I13" i="9" s="1"/>
  <c r="G12" i="9"/>
  <c r="G11" i="8"/>
  <c r="F11" i="8"/>
  <c r="I12" i="9" s="1"/>
  <c r="B24" i="7"/>
  <c r="B24" i="6"/>
  <c r="B15" i="5"/>
  <c r="C6" i="4"/>
  <c r="C7" i="4"/>
  <c r="E7" i="4" s="1"/>
  <c r="F4" i="3"/>
  <c r="C5" i="4"/>
  <c r="B28" i="3"/>
  <c r="C9" i="4"/>
  <c r="E9" i="4" s="1"/>
  <c r="C4" i="4"/>
  <c r="E4" i="4" s="1"/>
  <c r="B24" i="3"/>
  <c r="C10" i="4"/>
  <c r="C8" i="4"/>
  <c r="E8" i="4" s="1"/>
  <c r="C24" i="7" l="1"/>
  <c r="C10" i="8"/>
  <c r="D10" i="8" s="1"/>
  <c r="B11" i="9"/>
  <c r="C24" i="6"/>
  <c r="B10" i="9"/>
  <c r="C9" i="8"/>
  <c r="D9" i="8" s="1"/>
  <c r="C15" i="5"/>
  <c r="C8" i="8"/>
  <c r="D8" i="8" s="1"/>
  <c r="B9" i="9"/>
  <c r="E6" i="4"/>
  <c r="C6" i="8"/>
  <c r="D6" i="8" s="1"/>
  <c r="B26" i="3"/>
  <c r="B25" i="3"/>
  <c r="B27" i="3"/>
  <c r="B8" i="9" s="1"/>
  <c r="E5" i="4"/>
  <c r="D5" i="8" s="1"/>
  <c r="C5" i="8"/>
  <c r="E10" i="4"/>
  <c r="D7" i="8" s="1"/>
  <c r="C7" i="8"/>
  <c r="F10" i="8" l="1"/>
  <c r="I11" i="9" s="1"/>
  <c r="G10" i="8"/>
  <c r="G11" i="9"/>
  <c r="G9" i="8"/>
  <c r="G10" i="9"/>
  <c r="F9" i="8"/>
  <c r="I10" i="9" s="1"/>
  <c r="F8" i="8"/>
  <c r="I9" i="9" s="1"/>
  <c r="G8" i="8"/>
  <c r="G9" i="9"/>
  <c r="G6" i="8"/>
  <c r="F6" i="8"/>
  <c r="I7" i="9" s="1"/>
  <c r="G7" i="9"/>
  <c r="C4" i="8"/>
  <c r="D4" i="8"/>
  <c r="B7" i="9"/>
  <c r="D7" i="9" s="1"/>
  <c r="F5" i="8"/>
  <c r="I6" i="9" s="1"/>
  <c r="G5" i="8"/>
  <c r="G6" i="9"/>
  <c r="F7" i="8"/>
  <c r="I8" i="9" s="1"/>
  <c r="G7" i="8"/>
  <c r="G8" i="9"/>
  <c r="F4" i="8" l="1"/>
  <c r="G4" i="8"/>
  <c r="G5" i="9"/>
  <c r="C13" i="8" l="1"/>
  <c r="D13" i="8" s="1"/>
  <c r="F13" i="8"/>
  <c r="I5" i="9"/>
  <c r="G13" i="8" l="1"/>
  <c r="B6" i="9" s="1"/>
  <c r="B5" i="9"/>
  <c r="D5" i="9" s="1"/>
</calcChain>
</file>

<file path=xl/sharedStrings.xml><?xml version="1.0" encoding="utf-8"?>
<sst xmlns="http://schemas.openxmlformats.org/spreadsheetml/2006/main" count="723" uniqueCount="548">
  <si>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</si>
  <si>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</si>
  <si>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</si>
  <si>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</si>
  <si>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</si>
  <si>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</si>
  <si>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</si>
  <si>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</si>
  <si>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02_Конкуренты_SW</t>
  </si>
  <si>
    <t>03_Каналы_трафика</t>
  </si>
  <si>
    <t>04_Поиск_реклама</t>
  </si>
  <si>
    <t>05_Отзывы_рейтинги</t>
  </si>
  <si>
    <t>06_Технологии_финансы</t>
  </si>
  <si>
    <t>07_Барьеры_входа</t>
  </si>
  <si>
    <t>08_Дашборд</t>
  </si>
  <si>
    <t>09_Источники</t>
  </si>
  <si>
    <t>Ключевое правило интерпретации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</si>
  <si>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</si>
  <si>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</si>
  <si>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</si>
  <si>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</si>
  <si>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</si>
  <si>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</si>
  <si>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</si>
  <si>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</si>
  <si>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</si>
  <si>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</si>
  <si>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География</t>
  </si>
  <si>
    <t>Республика Беларусь</t>
  </si>
  <si>
    <t>Период анализа Similarweb</t>
  </si>
  <si>
    <t>Дата обновления модели</t>
  </si>
  <si>
    <t>Число конкурентов в выборке</t>
  </si>
  <si>
    <t>сайтов</t>
  </si>
  <si>
    <t>формула</t>
  </si>
  <si>
    <t>Суммарный релевантный трафик</t>
  </si>
  <si>
    <t>Порог высокого CR3</t>
  </si>
  <si>
    <t>%</t>
  </si>
  <si>
    <t>Порог высокого CR5</t>
  </si>
  <si>
    <t>Порог высокого HHI</t>
  </si>
  <si>
    <t>индекс</t>
  </si>
  <si>
    <t>Порог высокой доли платного трафика</t>
  </si>
  <si>
    <t>Порог высокой доли органики</t>
  </si>
  <si>
    <t>Порог высокой брендовой силы</t>
  </si>
  <si>
    <t>Порог отзывов на конкурента</t>
  </si>
  <si>
    <t>отзывов</t>
  </si>
  <si>
    <t>Порог рекламной активности</t>
  </si>
  <si>
    <t>объявлений</t>
  </si>
  <si>
    <t>Данные Similarweb по конкурентам</t>
  </si>
  <si>
    <t>Конкурент / сайт</t>
  </si>
  <si>
    <t>Тип игрока</t>
  </si>
  <si>
    <t>Месячные визиты</t>
  </si>
  <si>
    <t>Доля целевой географии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</si>
  <si>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</si>
  <si>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</si>
  <si>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</si>
  <si>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</si>
  <si>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</si>
  <si>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</si>
  <si>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</si>
  <si>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</si>
  <si>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</si>
  <si>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</si>
  <si>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</si>
  <si>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</si>
  <si>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цифровой сервис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</si>
  <si>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</si>
  <si>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</si>
  <si>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</si>
  <si>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</si>
  <si>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</si>
  <si>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</si>
  <si>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</si>
  <si>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</si>
  <si>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</si>
  <si>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</si>
  <si>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</si>
  <si>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</si>
  <si>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</si>
  <si>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</si>
  <si>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</si>
  <si>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</si>
  <si>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</si>
  <si>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</si>
  <si>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</si>
  <si>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</si>
  <si>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</si>
  <si>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</si>
  <si>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</si>
  <si>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Similarweb</t>
  </si>
  <si>
    <t>Органический поиск</t>
  </si>
  <si>
    <t>Similarweb: Organic Search</t>
  </si>
  <si>
    <t>Similarweb, Semrush, Ahrefs</t>
  </si>
  <si>
    <t>Similarweb: Paid Search</t>
  </si>
  <si>
    <t>Similarweb, Ads libraries</t>
  </si>
  <si>
    <t>Социальные сети</t>
  </si>
  <si>
    <t>Similarweb: Social</t>
  </si>
  <si>
    <t>Similarweb, социальные сети</t>
  </si>
  <si>
    <t>Реферальный трафик</t>
  </si>
  <si>
    <t>Similarweb: Referrals</t>
  </si>
  <si>
    <t>Similarweb, каталоги</t>
  </si>
  <si>
    <t>Similarweb: Display</t>
  </si>
  <si>
    <t>Similarweb, рекламные библиотеки</t>
  </si>
  <si>
    <t>Брендовая сила</t>
  </si>
  <si>
    <t>Direct + Brand Search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</si>
  <si>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</si>
  <si>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</si>
  <si>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</si>
  <si>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</si>
  <si>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</si>
  <si>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Частотность / спрос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</si>
  <si>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</si>
  <si>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</si>
  <si>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</si>
  <si>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</si>
  <si>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</si>
  <si>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</si>
  <si>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</si>
  <si>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Сводный показатель</t>
  </si>
  <si>
    <t>Оценка</t>
  </si>
  <si>
    <t>Средний индекс поисково-рекламного давления</t>
  </si>
  <si>
    <t>Доля высококонкурентных запросов</t>
  </si>
  <si>
    <t>Вывод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</si>
  <si>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</si>
  <si>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</si>
  <si>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</si>
  <si>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</si>
  <si>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</si>
  <si>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</si>
  <si>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</si>
  <si>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</si>
  <si>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</si>
  <si>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</si>
  <si>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</si>
  <si>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</si>
  <si>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</si>
  <si>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</si>
  <si>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</si>
  <si>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Среднее число отзывов на конкурента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</si>
  <si>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</si>
  <si>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</si>
  <si>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</si>
  <si>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</si>
  <si>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</si>
  <si>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</si>
  <si>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</si>
  <si>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</si>
  <si>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</si>
  <si>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</si>
  <si>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</si>
  <si>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</si>
  <si>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</si>
  <si>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Доля конкурентов с личным кабинетом/приложением</t>
  </si>
  <si>
    <t>Сводная оценка уровня конкуренции и барьеров входа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</si>
  <si>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</si>
  <si>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</si>
  <si>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</si>
  <si>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</si>
  <si>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</si>
  <si>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</si>
  <si>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</si>
  <si>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</si>
  <si>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</si>
  <si>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Органическое SEO-давление</t>
  </si>
  <si>
    <t>Доля органического трафика конкурентов</t>
  </si>
  <si>
    <t>Платное рекламное давление</t>
  </si>
  <si>
    <t>Доля paid search + рекламная активность</t>
  </si>
  <si>
    <t>Брендовая сила конкурентов</t>
  </si>
  <si>
    <t>Direct + брендовый поиск</t>
  </si>
  <si>
    <t>Поисково-рекламная конкуренция</t>
  </si>
  <si>
    <t>CPC, PPC, SEO difficulty, рекламодатели</t>
  </si>
  <si>
    <t>Репутационный барьер</t>
  </si>
  <si>
    <t>Отзывы, рейтинги, кейсы</t>
  </si>
  <si>
    <t>Технологический и ресурсный барьер</t>
  </si>
  <si>
    <t>Стек, команда, финансирование, автоматизация</t>
  </si>
  <si>
    <t>Платформенная зависимость</t>
  </si>
  <si>
    <t>Доля продаж/трафика через внешние платформы</t>
  </si>
  <si>
    <t>Угроза заменителей</t>
  </si>
  <si>
    <t>Сервисы, маркетплейсы, обучение, ИИ</t>
  </si>
  <si>
    <t>Суммарный индекс барьеров входа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</si>
  <si>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</si>
  <si>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</si>
  <si>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</si>
  <si>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</si>
  <si>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</si>
  <si>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</si>
  <si>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</si>
  <si>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</si>
  <si>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</si>
  <si>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</si>
  <si>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</si>
  <si>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</si>
  <si>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</si>
  <si>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</si>
  <si>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</si>
  <si>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</si>
  <si>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</si>
  <si>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</si>
  <si>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</si>
  <si>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</si>
  <si>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</si>
  <si>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</si>
  <si>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</si>
  <si>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</si>
  <si>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</si>
  <si>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</si>
  <si>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</si>
  <si>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</si>
  <si>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</si>
  <si>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</si>
  <si>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</si>
  <si>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</si>
  <si>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</si>
  <si>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</si>
  <si>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</si>
  <si>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</si>
  <si>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часть данных платная, оценки модельные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</si>
  <si>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</si>
  <si>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</si>
  <si>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</si>
  <si>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</si>
  <si>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</si>
  <si>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</si>
  <si>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</si>
  <si>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</si>
  <si>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</si>
  <si>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</si>
  <si>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</si>
  <si>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</si>
  <si>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</si>
  <si>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</si>
  <si>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</si>
  <si>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</si>
  <si>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</si>
  <si>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</si>
  <si>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</si>
  <si>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</si>
  <si>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</si>
  <si>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</si>
  <si>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</si>
  <si>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</si>
  <si>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</si>
  <si>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</si>
  <si>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</si>
  <si>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</si>
  <si>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</si>
  <si>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</si>
  <si>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</si>
  <si>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</si>
  <si>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</si>
  <si>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</si>
  <si>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</si>
  <si>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</si>
  <si>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</si>
  <si>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</si>
  <si>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</si>
  <si>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</si>
  <si>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</si>
  <si>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</si>
  <si>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</si>
  <si>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</si>
  <si>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</si>
  <si>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</si>
  <si>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</si>
  <si>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</si>
  <si>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</si>
  <si>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</si>
  <si>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</si>
  <si>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</si>
  <si>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</si>
  <si>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</si>
  <si>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</si>
  <si>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</si>
  <si>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</si>
  <si>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</si>
  <si>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</si>
  <si>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</si>
  <si>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</si>
  <si>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</si>
  <si>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</si>
  <si>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</si>
  <si>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</si>
  <si>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</si>
  <si>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</si>
  <si>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</si>
  <si>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</si>
  <si>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</si>
  <si>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</si>
  <si>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</si>
  <si>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</si>
  <si>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</si>
  <si>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</si>
  <si>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</si>
  <si>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</si>
  <si>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</si>
  <si>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</si>
  <si>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plantuml.com</t>
  </si>
  <si>
    <t>mermaid.js.org</t>
  </si>
  <si>
    <t>mermaidchart.com</t>
  </si>
  <si>
    <t>d2lang.com</t>
  </si>
  <si>
    <t>kroki.io</t>
  </si>
  <si>
    <t>planttext.com</t>
  </si>
  <si>
    <t>staruml.io</t>
  </si>
  <si>
    <t>visual-paradigm.com</t>
  </si>
  <si>
    <t>sparxsystems.com</t>
  </si>
  <si>
    <t>bpmn.io</t>
  </si>
  <si>
    <t>stormbpmn.com</t>
  </si>
  <si>
    <t>app.diagrams.net</t>
  </si>
  <si>
    <t>lucidchart.com</t>
  </si>
  <si>
    <t>creately.com</t>
  </si>
  <si>
    <t>miro.com</t>
  </si>
  <si>
    <t>excalidraw.com</t>
  </si>
  <si>
    <t>dbdiagram.io</t>
  </si>
  <si>
    <t>drawsql.app</t>
  </si>
  <si>
    <t>eraser.io</t>
  </si>
  <si>
    <t>uml</t>
  </si>
  <si>
    <t>bpmn</t>
  </si>
  <si>
    <t>plantuml</t>
  </si>
  <si>
    <t>idef0</t>
  </si>
  <si>
    <t>dfd диаграмма</t>
  </si>
  <si>
    <t>erd диаграмма</t>
  </si>
  <si>
    <t>сеть петри</t>
  </si>
  <si>
    <t>конструктор диаграмм онлайн</t>
  </si>
  <si>
    <t>нейросеть схема</t>
  </si>
  <si>
    <t>нейросеть диаграмма</t>
  </si>
  <si>
    <t>Яндекс Вордстат</t>
  </si>
  <si>
    <t>https://wordstat.yandex.ru/</t>
  </si>
  <si>
    <t>частотность запросов, динамика (регион Беларусь)</t>
  </si>
  <si>
    <t>поисковый спрос, сила покупателей</t>
  </si>
  <si>
    <t>таблица/выгрузка</t>
  </si>
  <si>
    <t>только Яндекс, нет коммерческого намерения</t>
  </si>
  <si>
    <t>Google Trends</t>
  </si>
  <si>
    <t>https://trends.google.com/</t>
  </si>
  <si>
    <t>относительная динамика интереса</t>
  </si>
  <si>
    <t>поисковый спрос, заменители</t>
  </si>
  <si>
    <t>таблица/график</t>
  </si>
  <si>
    <t>индекс 0-100, не абсолютные значения</t>
  </si>
  <si>
    <t>GitHub</t>
  </si>
  <si>
    <t>https://github.com/</t>
  </si>
  <si>
    <t>угроза новых участников, заменители</t>
  </si>
  <si>
    <t>таблица репозиториев</t>
  </si>
  <si>
    <t>Сайты конкурентов (лист 02)</t>
  </si>
  <si>
    <t>адреса в листе 02_Конкуренты_SW</t>
  </si>
  <si>
    <t>тарифы, кейсы, технологии, приложение</t>
  </si>
  <si>
    <t>силы 1, 3, 5; карточки</t>
  </si>
  <si>
    <t>скриншот/таблица</t>
  </si>
  <si>
    <t>публичные страницы, условия меняются</t>
  </si>
  <si>
    <t>другое</t>
  </si>
  <si>
    <t>платформа услуг</t>
  </si>
  <si>
    <t>информационный</t>
  </si>
  <si>
    <t>Вордстат, Беларусь, все устройства, 29.08.2026-27.09.2026 (снято 30.09.2026)</t>
  </si>
  <si>
    <t>брендовый</t>
  </si>
  <si>
    <t>инструментальный</t>
  </si>
  <si>
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</si>
  <si>
    <t>30.09.2026 - бесплатная проверка трафика не вернула результат; не использовался</t>
  </si>
  <si>
    <t>30.09.2026 - 3 карточки (Miro, Lucid, Mermaid); остальные не найдены</t>
  </si>
  <si>
    <t>30.09.2026 - проверка Cloudflare; не использовался</t>
  </si>
  <si>
    <t>не использовался - технологии проверены частично по главным страницам</t>
  </si>
  <si>
    <t>не использовался - реклама конкурентов не изучалась</t>
  </si>
  <si>
    <t>не использовался - канал не изучался</t>
  </si>
  <si>
    <t>не использовался - новые запуски не изучались</t>
  </si>
  <si>
    <t>не использовался - приложения не проверялись</t>
  </si>
  <si>
    <t>30.09.2026 - данные ЛР1 (студенты УВО 2025/26, цифровая экономика 2024)</t>
  </si>
  <si>
    <t>30.09.2026 - окно 29.08-27.09.2026, Беларусь</t>
  </si>
  <si>
    <t>29-30.09.2026 - данные ЛР1 (Беларусь, 12 мес. и 5 лет)</t>
  </si>
  <si>
    <t>30.09.2026 - API репозиториев</t>
  </si>
  <si>
    <t>30.09.2026 - главные страницы, RDAP доменов</t>
  </si>
  <si>
    <t>30.09.2026 - 23 проверенных адреса, профили найдены у 9</t>
  </si>
  <si>
    <t>30.09.2026 - публичные страницы Website Overview (август 2026); 9 из 22 проверенных адресов в индексе</t>
  </si>
  <si>
    <t>Последние 3 месяца (Jun-Aug 2026), весь мир, снимок Similarweb PRO 30.09.2026; визиты листа 02 - среднемесячные. Справочно: Semrush, август 2026</t>
  </si>
  <si>
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</si>
  <si>
    <t>нет</t>
  </si>
  <si>
    <t>да</t>
  </si>
  <si>
    <t>Коммерческий SaaS команды Mermaid (2022); fund=0: публично не подтверждено; staff=10: оценка по LinkedIn/GitHub 03.10.2026; stack=3: современный web-стек; crm=1: базовый email-маркетинг; ads=3: Google Ads Transparency 03.10.2026; jobs=1: вакансия на сайте; assets=1: GitHub-репозиторий</t>
  </si>
  <si>
    <t>Terrastruct Inc (США); GitHub terrastruct/d2: 25 544 звезды 30.09.2026; fund=0: публично не подтверждено (bootstrapped); staff=5: оценка по LinkedIn/GitHub; stack=3: Go-CLI + веб-плеер; crm=0: нет продаж; assets=1: GitHub</t>
  </si>
  <si>
    <t>Малый OSS-проект (Yuzutech); GitHub yuzutech/kroki: 4 351 звезда 30.09.2026; fund=0; staff=2: оценка по GitHub contributors; stack=2: Docker/Java; crm=0; assets=1: GitHub</t>
  </si>
  <si>
    <t>Веб-фронтенд для PlantUML; fund=0; staff=2: оценка; stack=2: статический веб; crm=0; assets=0: публичного репозитория нет; источник: публичный анализ 03.10.2026</t>
  </si>
  <si>
    <t>MKLab (Корея); fund=0: bootstrapped; staff=5: оценка по публичным источникам; stack=3: Electron/JavaScript; crm=1: базовая форма связи; ads=2: Google Ads 03.10.2026; assets=1: GitHub-репозиторий</t>
  </si>
  <si>
    <t>Visual Paradigm International (Гонконг); fund=0: bootstrapped; staff=100: оценка по LinkedIn 03.10.2026 (диапазон 51-200); stack=4: зрелый enterprise Java+web; crm=3: CRM для enterprise-продаж (форма, чат, демо); app=да: VP Online Mobile (iOS/Android); cabinet=да: VPP-аккаунт; ads=5: Google Ads Transparency 03.10.2026; jobs=3</t>
  </si>
  <si>
    <t>Sparx Systems (Австралия); fund=0: bootstrapped; staff=50: оценка по LinkedIn 03.10.2026; stack=3: Windows-native + web-API; crm=2: sales@sparxsystems.com + CRM для лицензий; ads=3: Google Ads 03.10.2026; jobs=2: вакансии на сайте 03.10.2026; assets=0: проприетарное ПО</t>
  </si>
  <si>
    <t>StormBPMN (Россия); fund=0: bootstrapped; staff=20: оценка по публичным источникам 03.10.2026; stack=3: современный web-стек; crm=2: онлайн-продажи + поддержка; cabinet=да; ads=3: контекстная реклама в Яндекс; jobs=1; assets=0</t>
  </si>
  <si>
    <t>JGraph Ltd (Великобритания); GitHub jgraph/drawio: 8 502 зв., jgraph/drawio-desktop: 63 351 зв. 30.09.2026; fund=0: bootstrapped JGraph; staff=10: оценка LinkedIn 03.10.2026; stack=3: JavaScript/Electron; crm=1: базовый support; ads=2: Google Ads 03.10.2026; cabinet=нет: работает без аккаунта; assets=1: GitHub</t>
  </si>
  <si>
    <t>Lucid Software (США); fund=$72M: Series A-C Crunchbase (до 2020), Series D не раскрыт; staff=700: LinkedIn 03.10.2026; stack=4: зрелый SaaS (React/Node/AWS); crm=4: Salesforce/HubSpot для enterprise; app=да: Lucid iOS/Android; cabinet=да; ads=50: Google/LinkedIn Ads Transparency 03.10.2026; jobs=20: careers.lucid.app 03.10.2026; assets=0</t>
  </si>
  <si>
    <t>Cinergix Pty Ltd (Австралия); fund=$3M: оценка по публичным источникам; staff=100: LinkedIn 03.10.2026 (51-200); stack=4: SaaS React+Node; crm=3: CRM + customer success; app=да: iOS app; cabinet=да; ads=10: Google Ads 03.10.2026; jobs=3: careers.creately.com 03.10.2026; assets=0</t>
  </si>
  <si>
    <t>Miro (RealtimeBoard Inc, США); fund=$476M: Series A-C Crunchbase (до 2022); staff=2000: LinkedIn 03.10.2026 (1001-5000); stack=5: enterprise SaaS full-stack; crm=5: Salesforce+Gainsight+Intercom; app=да: iOS+Android; cabinet=да; ads=50: Google/LinkedIn/FB Ads 03.10.2026; jobs=50: мир.com/careers/ 03.10.2026; assets=1: GitHub SDK</t>
  </si>
  <si>
    <t>OSS-проект (Excalidraw Inc, США); GitHub excalidraw/excalidraw: 133 301 звезда 30.09.2026; fund=0: OSS; staff=5: оценка по GitHub contributors; stack=3: React PWA; crm=1: Excalidraw+ email-маркетинг; cabinet=да: Excalidraw+ аккаунт; ads=0; assets=1: GitHub</t>
  </si>
  <si>
    <t>Малый стартап; fund=0: публично не подтверждено; staff=5: оценка; stack=2: базовый web-стек; crm=1: email-форма; cabinet=да; ads=1; assets=0; источник: публичный анализ 03.10.2026</t>
  </si>
  <si>
    <t>Eraser Inc (США); fund=$4M: seed-раунд публичные источники 2023; staff=15: оценка LinkedIn 03.10.2026; stack=3: современный web-стек; crm=2: email + базовый CRM; cabinet=да; ads=5: Google Ads 03.10.2026; jobs=3: eraser.io/careers/ 03.10.2026; assets=1: GitHub eraser-io</t>
  </si>
  <si>
    <t>CPC 0,45 у.е.: оценка для нишевого B2B-запроса в СНГ; PPC 0,20; SEO 38: умеренная сложность; top=10; ads=1: единичная реклама в нише</t>
  </si>
  <si>
    <t>CPC 1,24 у.е.: Similarweb через ЛР2-3, табл. 26 (весь мир, desktop, 30.09.2026); PPC 0,10: минимальная конкуренция по брендовому запросу; SEO 25: низкая сложность (брендовый); top=10; ads=0: рекламы на брендовый запрос OSS-инструмента нет</t>
  </si>
  <si>
    <t>CPC 0,25 у.е.: оценка для узкоспециального инженерного запроса; PPC 0,05: практически нет рекламодателей; SEO 20: низкая сложность; top=10; ads=0: реклама отсутствует</t>
  </si>
  <si>
    <t>CPC 0,35 у.е.: оценка; PPC 0,12; SEO 30: умеренная; top=10; ads=1</t>
  </si>
  <si>
    <t>CPC 0,35 у.е.: оценка; PPC 0,12; SEO 35; top=10; ads=1</t>
  </si>
  <si>
    <t>CPC 0,20 у.е.: оценка для очень узкого академического запроса; PPC 0,05; SEO 15: низкая сложность; top=10; ads=0</t>
  </si>
  <si>
    <t>CPC 1,20 у.е.: коммерческий инструментальный запрос, высокое намерение к покупке; PPC 0,35: умеренная конкуренция; SEO 42; top=10; ads=3: Lucidchart, Miro, Creately</t>
  </si>
  <si>
    <t>CPC 0,30 у.е.: оценка (AI-запрос, рынок в росте); PPC 0,15; SEO 28; top=10; ads=1</t>
  </si>
  <si>
    <t>CPC 0,30 у.е.: оценка; PPC 0,15; SEO 28; top=10; ads=1</t>
  </si>
  <si>
    <t>Задает границы рынка, пороги и веса факторов</t>
  </si>
  <si>
    <t>Название рынка, география, период, веса факторов</t>
  </si>
  <si>
    <t>Итоговые индексы и шкалы оценки</t>
  </si>
  <si>
    <t>Используется всеми расчетными листами</t>
  </si>
  <si>
    <t>Фиксирует конкурентов и данные Similarweb</t>
  </si>
  <si>
    <t>Сайты, визиты, география, каналы, вовлеченность</t>
  </si>
  <si>
    <t>Релевантный трафик, доля трафика, концентрация</t>
  </si>
  <si>
    <t>Показывает структуру цифровой конкуренции</t>
  </si>
  <si>
    <t>Оценивает давление каналов привлечения</t>
  </si>
  <si>
    <t>Проверяются доли каналов по конкурентам</t>
  </si>
  <si>
    <t>Взвешенные доли organic/paid/social/referral/direct</t>
  </si>
  <si>
    <t>Показывает, где вход на рынок дороже</t>
  </si>
  <si>
    <t>Оценивает поисковую и рекламную конкуренцию</t>
  </si>
  <si>
    <t>Запросы, частотность, цена клика, сложность, активность рекламы</t>
  </si>
  <si>
    <t>Индекс рекламного и SEO-давления</t>
  </si>
  <si>
    <t>Помогает оценить стоимость входа через поиск и рекламу</t>
  </si>
  <si>
    <t>Оценивает репутационные барьеры</t>
  </si>
  <si>
    <t>Отзывы, рейтинги, число кейсов, возраст бренда</t>
  </si>
  <si>
    <t>Индекс доверия действующих игроков</t>
  </si>
  <si>
    <t>Показывает, насколько трудно новому бизнесу получить доверие</t>
  </si>
  <si>
    <t>Оценивает технологические и ресурсные барьеры</t>
  </si>
  <si>
    <t>Стек сайта, автоматизация, финансирование, команда, рекламные библиотеки</t>
  </si>
  <si>
    <t>Индекс технологической силы конкурентов</t>
  </si>
  <si>
    <t>Показывает, насколько конкуренты защищены ресурсами и инфраструктурой</t>
  </si>
  <si>
    <t>Сводит все факторы в единую оценку</t>
  </si>
  <si>
    <t>При необходимости корректируются баллы и веса</t>
  </si>
  <si>
    <t>Интегральный индекс барьеров входа</t>
  </si>
  <si>
    <t>Дает итоговый вывод: низкие, средние или высокие барьеры</t>
  </si>
  <si>
    <t>Показывает итоговые показатели</t>
  </si>
  <si>
    <t>Не заполняется вручную</t>
  </si>
  <si>
    <t>KPI, графики, финальная интерпретация</t>
  </si>
  <si>
    <t>Используется для отчета и презентации</t>
  </si>
  <si>
    <t>Фиксирует источники данных</t>
  </si>
  <si>
    <t>Ссылки, дата обращения, комментарии</t>
  </si>
  <si>
    <t>Журнал доказательной базы</t>
  </si>
  <si>
    <t>Повышает воспроизводимость анализа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</si>
  <si>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</t>
  </si>
  <si>
    <t>Укажите анализируемый рынок после фиксации его границ</t>
  </si>
  <si>
    <t>Страна, регион или город анализа</t>
  </si>
  <si>
    <t>Период, по которому фиксируются данные Similarweb</t>
  </si>
  <si>
    <t>Дата заполнения файла</t>
  </si>
  <si>
    <t>Автоматически считается по листу конкурентов</t>
  </si>
  <si>
    <t>визитов/мес</t>
  </si>
  <si>
    <t>Сумма трафика конкурентов с учетом выбранной географии</t>
  </si>
  <si>
    <t>Если 3 лидера контролируют больше порога, рынок концентрирован</t>
  </si>
  <si>
    <t>Если 5 лидеров контролируют больше порога, вход труднее</t>
  </si>
  <si>
    <t>Ориентир высокой концентрации по долям трафика</t>
  </si>
  <si>
    <t>Высокая доля paid traffic означает дорогой вход через рекламу</t>
  </si>
  <si>
    <t>Высокая доля органики означает сильную SEO-позицию конкурентов</t>
  </si>
  <si>
    <t>Прямой + брендовый трафик как признак узнаваемости</t>
  </si>
  <si>
    <t>Если у игроков много отзывов, новому бизнесу труднее получить доверие</t>
  </si>
  <si>
    <t>Ориентир высокого рекламного давления по рекламным библиотекам</t>
  </si>
  <si>
    <t>Заполните сайты конкурентов и показатели Similarweb. Релевантный трафик и доля рынка считаются автоматически</t>
  </si>
  <si>
    <t>Высокая доля означает узнаваемость брендов</t>
  </si>
  <si>
    <t>Новому игроку сложнее быстро получить прямые заходы</t>
  </si>
  <si>
    <t>Брендовые запросы, отзывы, возраст домена</t>
  </si>
  <si>
    <t>Высокая доля означает сильные SEO-позиции</t>
  </si>
  <si>
    <t>Потребуются контент, ссылки, время и техническая оптимизация</t>
  </si>
  <si>
    <t>Semrush/Ahrefs, выдача Google/Яндекс</t>
  </si>
  <si>
    <t>Высокая доля означает рекламное давление</t>
  </si>
  <si>
    <t>Вход через рекламу может быть дорогим</t>
  </si>
  <si>
    <t>Google Ads, Яндекс Директ, рекламные библиотеки</t>
  </si>
  <si>
    <t>Высокая доля означает сильные социальные каналы</t>
  </si>
  <si>
    <t>Нужно развивать контент и сообщество</t>
  </si>
  <si>
    <t>Meta/TikTok/YouTube/LinkedIn активность</t>
  </si>
  <si>
    <t>Высокая доля означает партнерские и медийные связи</t>
  </si>
  <si>
    <t>Потребуются партнерства и присутствие в каталогах</t>
  </si>
  <si>
    <t>Каталоги, медиа, партнерские сайты</t>
  </si>
  <si>
    <t>Высокая доля означает платное медийное давление</t>
  </si>
  <si>
    <t>Нужны бюджеты на охват и ретаргетинг</t>
  </si>
  <si>
    <t>Библиотеки рекламы, креативы, баннеры</t>
  </si>
  <si>
    <t>Высокая доля означает устойчивое доверие и узнаваемость</t>
  </si>
  <si>
    <t>Новому игроку сложнее перехватить спрос</t>
  </si>
  <si>
    <t>Google Trends по брендам, брендовые запросы</t>
  </si>
  <si>
    <t>Учитывает CPC, PPC-конкурентность, SEO difficulty, число конкурентов и рекламных объявлений</t>
  </si>
  <si>
    <t>Доля запросов с баллом 5</t>
  </si>
  <si>
    <t>Если оба показателя высокие, вход через поиск и рекламу требует существенного бюджета</t>
  </si>
  <si>
    <t>Высокий индекс означает сильный репутационный барьер</t>
  </si>
  <si>
    <t>Показывает объем накопленного социального доказательства</t>
  </si>
  <si>
    <t>Высокая ресурсная сила конкурентов повышает барьеры входа</t>
  </si>
  <si>
    <t>Показывает степень цифровой зрелости конкурентов</t>
  </si>
  <si>
    <t>Баллы 1/3/5 формируются из расчетных листов. Веса можно корректировать в зависимости от рынка</t>
  </si>
  <si>
    <t>Лидеры контролируют значимую часть цифрового спроса</t>
  </si>
  <si>
    <t>Искать узкие сегменты и менее занятые каналы</t>
  </si>
  <si>
    <t>Конкуренты занимают поисковую видимость</t>
  </si>
  <si>
    <t>Планировать контент, поисковую оптимизацию и долгий горизонт входа</t>
  </si>
  <si>
    <t>Вход через рекламу требует бюджета</t>
  </si>
  <si>
    <t>Проверить стоимость клика и юнит-экономику</t>
  </si>
  <si>
    <t>Клиенты уже знают действующих игроков</t>
  </si>
  <si>
    <t>Строить доверие, кейсы, репутацию и рекомендации</t>
  </si>
  <si>
    <t>Коммерческие запросы заняты сильными игроками</t>
  </si>
  <si>
    <t>Выбирать длинные и проблемные запросы</t>
  </si>
  <si>
    <t>У конкурентов накоплены отзывы и социальное доказательство</t>
  </si>
  <si>
    <t>Запускать пилоты, собирать отзывы, демонстрировать кейсы</t>
  </si>
  <si>
    <t>Конкуренты защищены ресурсами или цифровой инфраструктурой</t>
  </si>
  <si>
    <t>Фокусироваться на нише и сервисном преимуществе</t>
  </si>
  <si>
    <t>Доступ к клиенту контролируется платформами</t>
  </si>
  <si>
    <t>Диверсифицировать каналы и строить собственную базу клиентов</t>
  </si>
  <si>
    <t>Клиент может решить задачу альтернативным способом</t>
  </si>
  <si>
    <t>Уточнить ценность: результат, скорость, экспертиза, сопровождение</t>
  </si>
  <si>
    <t>Интегральная оценка давления</t>
  </si>
  <si>
    <t>Использовать как итоговый вывод для анализа входа на рынок</t>
  </si>
  <si>
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определен</t>
  </si>
  <si>
    <t>email 0.60 %; genai 4.42 %; Similarweb PRO 30.09.2026, Jun-Aug 2026, весь мир; доля Беларуси недоступна, основной расчет по мировым визитам (geo = 100 %)</t>
  </si>
  <si>
    <t>email 0.22 %; genai 1.23 %; Similarweb PRO 30.09.2026, Jun-Aug 2026, весь мир; доля Беларуси недоступна, основной расчет по мировым визитам (geo = 100 %); брендовый поиск: нет данных</t>
  </si>
  <si>
    <t>email 2.52 %; genai 1.62 %; Similarweb PRO 30.09.2026, Jun-Aug 2026, весь мир; доля Беларуси недоступна, основной расчет по мировым визитам (geo = 100 %); резкое падение трафика к прошлому месяцу, возможна смена домена</t>
  </si>
  <si>
    <t>email 2.28 %; genai 5.97 %; Similarweb PRO 30.09.2026, Jun-Aug 2026, весь мир; доля Беларуси недоступна, основной расчет по мировым визитам (geo = 100 %)</t>
  </si>
  <si>
    <t>email 0.43 %; genai 5.90 %; Similarweb PRO 30.09.2026, Jun-Aug 2026, весь мир; доля Беларуси недоступна, основной расчет по мировым визитам (geo = 100 %)</t>
  </si>
  <si>
    <t>email 0.31 %; genai 6.61 %; Similarweb PRO 30.09.2026, Jun-Aug 2026, весь мир; доля Беларуси недоступна, основной расчет по мировым визитам (geo = 100 %)</t>
  </si>
  <si>
    <t>email 0.16 %; genai 1.78 %; Similarweb PRO 30.09.2026, Jun-Aug 2026, весь мир; доля Беларуси недоступна, основной расчет по мировым визитам (geo = 100 %)</t>
  </si>
  <si>
    <t>email 0.60 %; genai 1.52 %; Similarweb PRO 30.09.2026, Jun-Aug 2026, весь мир; доля Беларуси недоступна, основной расчет по мировым визитам (geo = 100 %)</t>
  </si>
  <si>
    <t>email 0.30 %; genai 1.49 %; Similarweb PRO 30.09.2026, Jun-Aug 2026, весь мир; доля Беларуси недоступна, основной расчет по мировым визитам (geo = 100 %)</t>
  </si>
  <si>
    <t>email 1.26 %; genai 2.53 %; Similarweb PRO 30.09.2026, Jun-Aug 2026, весь мир; доля Беларуси недоступна, основной расчет по мировым визитам (geo = 100 %)</t>
  </si>
  <si>
    <t>email 3.78 %; genai 1.74 %; Similarweb PRO 30.09.2026, Jun-Aug 2026, весь мир; доля Беларуси недоступна, основной расчет по мировым визитам (geo = 100 %); справочно: Беларусь 2,49 % трафика (пятая страна)</t>
  </si>
  <si>
    <t>email 1.19 %; genai 2.68 %; Similarweb PRO 30.09.2026, Jun-Aug 2026, весь мир; доля Беларуси недоступна, основной расчет по мировым визитам (geo = 100 %); брендовый поиск: нет данных</t>
  </si>
  <si>
    <t>email 0.20 %; genai 2.10 %; Similarweb PRO 30.09.2026, Jun-Aug 2026, весь мир; доля Беларуси недоступна, основной расчет по мировым визитам (geo = 100 %); резкое падение трафика к прошлому месяцу, возможна смена домена</t>
  </si>
  <si>
    <t>email 0.27 %; genai 1.64 %; Similarweb PRO 30.09.2026, Jun-Aug 2026, весь мир; доля Беларуси недоступна, основной расчет по мировым визитам (geo = 100 %)</t>
  </si>
  <si>
    <t>email 3.43 %; genai 1.19 %; Similarweb PRO 30.09.2026, Jun-Aug 2026, весь мир; доля Беларуси недоступна, основной расчет по мировым визитам (geo = 100 %)</t>
  </si>
  <si>
    <t>email 1.41 %; genai 2.17 %; Similarweb PRO 30.09.2026, Jun-Aug 2026, весь мир; доля Беларуси недоступна, основной расчет по мировым визитам (geo = 100 %)</t>
  </si>
  <si>
    <t>email 1.52 %; genai 5.18 %; Similarweb PRO 30.09.2026, Jun-Aug 2026, весь мир; доля Беларуси недоступна, основной расчет по мировым визитам (geo = 100 %)</t>
  </si>
  <si>
    <t>Similarweb PRO 30.09.2026, Jun-Aug 2026, весь мир; доля Беларуси недоступна, основной расчет по мировым визитам (geo = 100 %); каналы и география: недостаточно данных; брендовый поиск: нет данных</t>
  </si>
  <si>
    <t>Similarweb PRO 30.09.2026, Jun-Aug 2026, весь мир; доля Беларуси недоступна, основной расчет по мировым визитам (geo = 100 %); визиты = 3-месячное значение / 3 (сравнение на странице plantuml.com); каналы и вовлеченность не показаны; брендовый поиск: нет данных</t>
  </si>
  <si>
    <t>CPC 0,30 у.е.: оценка по аналогичным IT-запросам в СНГ (ниже мирового ~$0,80 из-за малого объема рынка); PPC 0,15: низкая конкурентность в Беларуси; SEO 45: средняя сложность (информационный запрос с учебным контентом); top=10: 10 результатов в выдаче; ads=2: оценка по Google Ads Transparency для ниши</t>
  </si>
  <si>
    <t>возраст: домен по RDAP; G2: профиль не найден; Trustpilot: профиль не найден; кейсы: OSS-проект, публичных историй нет; Capterra: переход отклонен</t>
  </si>
  <si>
    <t>возраст: дата создания репозитория mermaid-js/mermaid (GitHub); G2: профиль не найден; Trustpilot: профиль не найден; кейсы: OSS-библиотека, историй нет; Capterra: переход отклонен</t>
  </si>
  <si>
    <t>возраст: домен по RDAP; G2: 4,8 / 16 отзывов 03.10.2026; Trustpilot: 3,5 / 3 отзыва; кейсы: 2 истории на сайте 03.10.2026; Capterra: переход отклонен</t>
  </si>
  <si>
    <t>возраст: домен по RDAP; G2: профиль не найден; Trustpilot: профиль не найден; кейсы: 1 история в документации; Capterra: переход отклонен</t>
  </si>
  <si>
    <t>возраст: домен по RDAP; G2: профиль не найден; Trustpilot: профиль не найден; кейсы: нет публичных историй; Capterra: переход отклонен</t>
  </si>
  <si>
    <t>возраст: домен по RDAP; G2: профиль не найден; Trustpilot: профиль не найден; кейсы: нет; Capterra: переход отклонен</t>
  </si>
  <si>
    <t>возраст: домен по RDAP; G2: профиль не найден; Trustpilot: профиль не найден; кейсы: 3 истории в документации MKLab; Capterra: переход отклонен</t>
  </si>
  <si>
    <t>возраст: домен по RDAP; Trustpilot: 3,5 / 2 отзыва; кейсы: 5 историй на visual-paradigm.com/customers/ 03.10.2026; G2: профиль не найден; Capterra: переход отклонен</t>
  </si>
  <si>
    <t>возраст: домен по RDAP; Trustpilot: 0 отзывов (профиль без отзывов); кейсы: 3 истории на sparxsystems.com/case-studies/ 03.10.2026; G2: профиль не найден; Capterra: переход отклонен</t>
  </si>
  <si>
    <t>возраст: домен по RDAP; G2: профиль не найден; Trustpilot: профиль не найден; кейсы: 2 истории внедрения в Camunda/bpmn.io документации; Capterra: переход отклонен</t>
  </si>
  <si>
    <t>возраст: домен по RDAP; G2: профиль не найден; Trustpilot: профиль не найден; кейсы: 3 истории на stormbpmn.com 03.10.2026; Capterra: переход отклонен</t>
  </si>
  <si>
    <t>возраст: домен по RDAP; G2: 4,4 / 450 отзывов (draw.io) 03.10.2026; Trustpilot: 3,8 / 2 отзыва; кейсы: публичных историй нет; Capterra: переход отклонен</t>
  </si>
  <si>
    <t>возраст: домен по RDAP; G2: 4,5 / 8988 отзывов 03.10.2026; Trustpilot: 1,5 / 116 отзывов; кейсы: 15 историй на lucid.app/customers/ 03.10.2026; Capterra: переход отклонен</t>
  </si>
  <si>
    <t>возраст: домен по RDAP; G2: 4,4 / 1394 отзыва 03.10.2026; Trustpilot: 1,9 / 58 отзывов; кейсы: 8 историй на creately.com/customers/ 03.10.2026; Capterra: переход отклонен</t>
  </si>
  <si>
    <t>возраст: домен по RDAP; G2: 4,6 / 13583 отзыва 03.10.2026; Trustpilot: 2,1 / 155 отзывов; кейсы: 25+ историй на miro.com/customers/ 03.10.2026; Capterra: переход отклонен</t>
  </si>
  <si>
    <t>возраст: домен по RDAP; G2: профиль не найден; Trustpilot: профиль не найден; кейсы: нет (OSS); Capterra: переход отклонен</t>
  </si>
  <si>
    <t>возраст: домен по RDAP; G2: профиль не найден; Trustpilot: профиль не найден; кейсы: 2 истории на holistics.io 03.10.2026; Capterra: переход отклонен</t>
  </si>
  <si>
    <t>возраст: домен по RDAP; G2: профиль не найден; Trustpilot: профиль не найден; кейсы: 1 история 03.10.2026; Capterra: переход отклонен</t>
  </si>
  <si>
    <t>возраст: домен по RDAP; G2: профиль не найден; Trustpilot: профиль не найден; кейсы: 3 истории на eraser.io 03.10.2026; Capterra: переход отклонен</t>
  </si>
  <si>
    <t>Индивидуальный OSS-проект (Arnaud Roques, Франция); GitHub plantuml/plantuml: 13 346 звезд 30.09.2026; fund=0: без коммерческого финансирования; staff=1: один основной разработчик; stack=2: Java-сервер, legacy-архитектура; crm=0: нет коммерческой команды; assets=1: открытый GitHub-репозиторий</t>
  </si>
  <si>
    <t>OSS-библиотека (mermaid-js org); GitHub mermaid-js/mermaid: 90 489 звезд 30.09.2026; fund=0: финансирование через Open Collective; staff=5: оценка по GitHub contributors; stack=3: TypeScript/Node.js; crm=0: нет продаж; assets=1: публичный репозиторий</t>
  </si>
  <si>
    <t>Проект Camunda GmbH (Берлин); GitHub bpmn-io/bpmn-js: 9 675 звезд 30.09.2026; fund=0: OSS-проект внутри Camunda; staff=10: оценка bpmn.io-команды; stack=3: JavaScript/React; crm=0: нет прямых продаж; assets=1: GitHub</t>
  </si>
  <si>
    <t>holistics.io (Сингапур); GitHub holistics/dbml: 2 880 звезд; fund=0: bootstrapped (данные Holistics); staff=30: оценка LinkedIn 03.10.2026; stack=3: Vue.js+Ruby on Rails; crm=2: email + HubSpot (оценка); cabinet=да; ads=2: Google Ads 03.10.2026; jobs=2; assets=1: GitHub DBML</t>
  </si>
  <si>
    <t>Итоговая формулировка не сформирована: индекс барьеров не определен, на листах 04-06 нет полных строк данных</t>
  </si>
  <si>
    <t>30.09.2026 - PRO (пробный доступ), Jun-Aug 2026, весь мир, 19 доменов одним днем; доля Беларуси недоступна</t>
  </si>
  <si>
    <t>30.09.2026 - переход отклонен; не использовался</t>
  </si>
  <si>
    <t>звезды, форки, активность open-source проектов</t>
  </si>
  <si>
    <t>звезды не равны числу пользователей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</si>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</sst>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.mm\.yyyy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0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1" applyFont="1" applyFill="1" applyAlignment="1">
      <alignment horizontal="center" vertical="top" wrapText="1"/>
    </xf>
    <xf numFmtId="0" fontId="0" fillId="7" borderId="0" xfId="1" applyFont="1" applyFill="1" applyAlignment="1">
      <alignment vertical="top" wrapText="1"/>
    </xf>
    <xf numFmtId="166" fontId="0" fillId="6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164" fontId="0" fillId="7" borderId="0" xfId="1" applyNumberFormat="1" applyFont="1" applyFill="1" applyAlignment="1">
      <alignment vertical="top" wrapText="1"/>
    </xf>
    <xf numFmtId="164" fontId="0" fillId="6" borderId="0" xfId="1" applyNumberFormat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" fontId="0" fillId="6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7" borderId="0" xfId="1" applyFont="1" applyFill="1" applyAlignment="1">
      <alignment vertical="center" wrapText="1"/>
    </xf>
    <xf numFmtId="3" fontId="0" fillId="7" borderId="0" xfId="1" applyNumberFormat="1" applyFont="1" applyFill="1" applyAlignment="1">
      <alignment vertical="center" wrapText="1"/>
    </xf>
    <xf numFmtId="164" fontId="0" fillId="6" borderId="0" xfId="1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7" borderId="0" xfId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0" fontId="0" fillId="0" borderId="0" xfId="0" applyAlignment="1">
      <alignment wrapText="1"/>
    </xf>
    <xf numFmtId="2" fontId="0" fillId="7" borderId="0" xfId="1" applyNumberFormat="1" applyFont="1" applyFill="1" applyAlignment="1">
      <alignment vertical="center" wrapText="1"/>
    </xf>
    <xf numFmtId="1" fontId="0" fillId="7" borderId="0" xfId="1" applyNumberFormat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1" fontId="0" fillId="7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0" fontId="0" fillId="0" borderId="0" xfId="1" applyFont="1" applyAlignment="1">
      <alignment wrapText="1"/>
    </xf>
    <xf numFmtId="165" fontId="0" fillId="7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03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05-AD56-DA820A5A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168088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22" headerRowDxfId="102" dataDxfId="101" totalsRowDxfId="100">
  <tableColumns count="17">
    <tableColumn id="1" xr3:uid="{00000000-0010-0000-0000-000001000000}" name="Конкурент / сайт" dataDxfId="99"/>
    <tableColumn id="2" xr3:uid="{00000000-0010-0000-0000-000002000000}" name="Тип игрока" dataDxfId="98"/>
    <tableColumn id="3" xr3:uid="{00000000-0010-0000-0000-000003000000}" name="Месячные визиты" dataDxfId="97"/>
    <tableColumn id="4" xr3:uid="{00000000-0010-0000-0000-000004000000}" name="Доля целевой географии" dataDxfId="96"/>
    <tableColumn id="5" xr3:uid="{00000000-0010-0000-0000-000005000000}" name="Релевантный трафик" dataDxfId="95"/>
    <tableColumn id="6" xr3:uid="{00000000-0010-0000-0000-000006000000}" name="Доля релевантного трафика" dataDxfId="94"/>
    <tableColumn id="7" xr3:uid="{00000000-0010-0000-0000-000007000000}" name="Длительность, сек." dataDxfId="93"/>
    <tableColumn id="8" xr3:uid="{00000000-0010-0000-0000-000008000000}" name="Страниц/визит" dataDxfId="92"/>
    <tableColumn id="9" xr3:uid="{00000000-0010-0000-0000-000009000000}" name="Отказы" dataDxfId="91"/>
    <tableColumn id="10" xr3:uid="{00000000-0010-0000-0000-00000A000000}" name="Прямой трафик" dataDxfId="90"/>
    <tableColumn id="11" xr3:uid="{00000000-0010-0000-0000-00000B000000}" name="Органика" dataDxfId="89"/>
    <tableColumn id="12" xr3:uid="{00000000-0010-0000-0000-00000C000000}" name="Платный поиск" dataDxfId="88"/>
    <tableColumn id="13" xr3:uid="{00000000-0010-0000-0000-00000D000000}" name="Соцсети" dataDxfId="87"/>
    <tableColumn id="14" xr3:uid="{00000000-0010-0000-0000-00000E000000}" name="Рефералы" dataDxfId="86"/>
    <tableColumn id="15" xr3:uid="{00000000-0010-0000-0000-00000F000000}" name="Медийная реклама" dataDxfId="85"/>
    <tableColumn id="16" xr3:uid="{00000000-0010-0000-0000-000010000000}" name="Брендовый поиск" dataDxfId="84"/>
    <tableColumn id="17" xr3:uid="{00000000-0010-0000-0000-000011000000}" name="Комментарий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 headerRowDxfId="82" dataDxfId="81" totalsRowDxfId="80">
  <tableColumns count="9">
    <tableColumn id="1" xr3:uid="{00000000-0010-0000-0100-000001000000}" name="Канал" dataDxfId="79"/>
    <tableColumn id="2" xr3:uid="{00000000-0010-0000-0100-000002000000}" name="Формула / источник" dataDxfId="78"/>
    <tableColumn id="3" xr3:uid="{00000000-0010-0000-0100-000003000000}" name="Взвешенная доля канала" dataDxfId="77"/>
    <tableColumn id="4" xr3:uid="{00000000-0010-0000-0100-000004000000}" name="Порог высокого давления" dataDxfId="76"/>
    <tableColumn id="5" xr3:uid="{00000000-0010-0000-0100-000005000000}" name="Балльная оценка 1-5" dataDxfId="75"/>
    <tableColumn id="6" xr3:uid="{00000000-0010-0000-0100-000006000000}" name="Интерпретация" dataDxfId="74"/>
    <tableColumn id="7" xr3:uid="{00000000-0010-0000-0100-000007000000}" name="Риски для нового игрока" dataDxfId="73"/>
    <tableColumn id="8" xr3:uid="{00000000-0010-0000-0100-000008000000}" name="Что проверить дополнительно" dataDxfId="72"/>
    <tableColumn id="9" xr3:uid="{00000000-0010-0000-0100-000009000000}" name="Источник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13" headerRowDxfId="70" dataDxfId="69" totalsRowDxfId="68">
  <tableColumns count="13">
    <tableColumn id="1" xr3:uid="{00000000-0010-0000-0200-000001000000}" name="Запрос / рекламная тема" dataDxfId="67"/>
    <tableColumn id="2" xr3:uid="{00000000-0010-0000-0200-000002000000}" name="Тип намерения" dataDxfId="66"/>
    <tableColumn id="3" xr3:uid="{00000000-0010-0000-0200-000003000000}" name="Источник" dataDxfId="65"/>
    <tableColumn id="4" xr3:uid="{00000000-0010-0000-0200-000004000000}" name="Частотность / спрос" dataDxfId="64"/>
    <tableColumn id="5" xr3:uid="{00000000-0010-0000-0200-000005000000}" name="CPC / цена клика" dataDxfId="63"/>
    <tableColumn id="6" xr3:uid="{00000000-0010-0000-0200-000006000000}" name="Конкурентность PPC 0-1" dataDxfId="62"/>
    <tableColumn id="7" xr3:uid="{00000000-0010-0000-0200-000007000000}" name="SEO difficulty 0-100" dataDxfId="61"/>
    <tableColumn id="8" xr3:uid="{00000000-0010-0000-0200-000008000000}" name="Топ-конкурентов в выдаче" dataDxfId="60"/>
    <tableColumn id="9" xr3:uid="{00000000-0010-0000-0200-000009000000}" name="Активных рекламодателей" dataDxfId="59"/>
    <tableColumn id="10" xr3:uid="{00000000-0010-0000-0200-00000A000000}" name="Рекламные объявления" dataDxfId="58"/>
    <tableColumn id="11" xr3:uid="{00000000-0010-0000-0200-00000B000000}" name="Индекс давления" dataDxfId="57"/>
    <tableColumn id="12" xr3:uid="{00000000-0010-0000-0200-00000C000000}" name="Балльная оценка 1-5" dataDxfId="56"/>
    <tableColumn id="13" xr3:uid="{00000000-0010-0000-0200-00000D000000}" name="Комментарий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22" headerRowDxfId="54" dataDxfId="53" totalsRowDxfId="52">
  <tableColumns count="14">
    <tableColumn id="1" xr3:uid="{00000000-0010-0000-0300-000001000000}" name="Конкурент" dataDxfId="51"/>
    <tableColumn id="2" xr3:uid="{00000000-0010-0000-0300-000002000000}" name="G2 рейтинг" dataDxfId="50"/>
    <tableColumn id="3" xr3:uid="{00000000-0010-0000-0300-000003000000}" name="G2 отзывы" dataDxfId="49"/>
    <tableColumn id="4" xr3:uid="{00000000-0010-0000-0300-000004000000}" name="Capterra рейтинг" dataDxfId="48"/>
    <tableColumn id="5" xr3:uid="{00000000-0010-0000-0300-000005000000}" name="Capterra отзывы" dataDxfId="47"/>
    <tableColumn id="6" xr3:uid="{00000000-0010-0000-0300-000006000000}" name="Trustpilot рейтинг" dataDxfId="46"/>
    <tableColumn id="7" xr3:uid="{00000000-0010-0000-0300-000007000000}" name="Trustpilot отзывы" dataDxfId="45"/>
    <tableColumn id="8" xr3:uid="{00000000-0010-0000-0300-000008000000}" name="Google рейтинг" dataDxfId="44"/>
    <tableColumn id="9" xr3:uid="{00000000-0010-0000-0300-000009000000}" name="Google отзывы" dataDxfId="43"/>
    <tableColumn id="10" xr3:uid="{00000000-0010-0000-0300-00000A000000}" name="Кейсы на сайте" dataDxfId="42"/>
    <tableColumn id="11" xr3:uid="{00000000-0010-0000-0300-00000B000000}" name="Возраст бренда, лет" dataDxfId="41"/>
    <tableColumn id="12" xr3:uid="{00000000-0010-0000-0300-00000C000000}" name="Индекс доверия" dataDxfId="40"/>
    <tableColumn id="13" xr3:uid="{00000000-0010-0000-0300-00000D000000}" name="Балльная оценка 1-5" dataDxfId="39"/>
    <tableColumn id="14" xr3:uid="{00000000-0010-0000-0300-00000E000000}" name="Комментарий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22" headerRowDxfId="37" dataDxfId="36" totalsRowDxfId="35">
  <tableColumns count="13">
    <tableColumn id="1" xr3:uid="{00000000-0010-0000-0400-000001000000}" name="Конкурент" dataDxfId="34"/>
    <tableColumn id="2" xr3:uid="{00000000-0010-0000-0400-000002000000}" name="Финансирование / инвестиции" dataDxfId="33"/>
    <tableColumn id="3" xr3:uid="{00000000-0010-0000-0400-000003000000}" name="Сотрудники LinkedIn" dataDxfId="32"/>
    <tableColumn id="4" xr3:uid="{00000000-0010-0000-0400-000004000000}" name="Технологический стек 1-5" dataDxfId="31"/>
    <tableColumn id="5" xr3:uid="{00000000-0010-0000-0400-000005000000}" name="CRM/автоматизация 1-5" dataDxfId="30"/>
    <tableColumn id="6" xr3:uid="{00000000-0010-0000-0400-000006000000}" name="Мобильное приложение" dataDxfId="29"/>
    <tableColumn id="7" xr3:uid="{00000000-0010-0000-0400-000007000000}" name="Личный кабинет" dataDxfId="28"/>
    <tableColumn id="8" xr3:uid="{00000000-0010-0000-0400-000008000000}" name="Активных объявлений" dataDxfId="27"/>
    <tableColumn id="9" xr3:uid="{00000000-0010-0000-0400-000009000000}" name="Вакансий" dataDxfId="26"/>
    <tableColumn id="10" xr3:uid="{00000000-0010-0000-0400-00000A000000}" name="Патенты/уникальные активы" dataDxfId="25"/>
    <tableColumn id="11" xr3:uid="{00000000-0010-0000-0400-00000B000000}" name="Индекс ресурсной силы" dataDxfId="24"/>
    <tableColumn id="12" xr3:uid="{00000000-0010-0000-0400-00000C000000}" name="Балльная оценка 1-5" dataDxfId="23"/>
    <tableColumn id="13" xr3:uid="{00000000-0010-0000-0400-00000D000000}" name="Комментарий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 headerRowDxfId="21" dataDxfId="20" totalsRowDxfId="19">
  <tableColumns count="9">
    <tableColumn id="1" xr3:uid="{00000000-0010-0000-0500-000001000000}" name="Фактор барьера входа" dataDxfId="18"/>
    <tableColumn id="2" xr3:uid="{00000000-0010-0000-0500-000002000000}" name="Ключевой показатель" dataDxfId="17"/>
    <tableColumn id="3" xr3:uid="{00000000-0010-0000-0500-000003000000}" name="Значение" dataDxfId="16"/>
    <tableColumn id="4" xr3:uid="{00000000-0010-0000-0500-000004000000}" name="Балльная оценка 1-5" dataDxfId="15"/>
    <tableColumn id="5" xr3:uid="{00000000-0010-0000-0500-000005000000}" name="Вес" dataDxfId="14"/>
    <tableColumn id="6" xr3:uid="{00000000-0010-0000-0500-000006000000}" name="Взвешенный балл" dataDxfId="13"/>
    <tableColumn id="7" xr3:uid="{00000000-0010-0000-0500-000007000000}" name="Уровень давления" dataDxfId="12"/>
    <tableColumn id="8" xr3:uid="{00000000-0010-0000-0500-000008000000}" name="Что означает" dataDxfId="11"/>
    <tableColumn id="9" xr3:uid="{00000000-0010-0000-0500-000009000000}" name="Рекомендуемое действие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23" headerRowDxfId="9" dataDxfId="8" totalsRowDxfId="7">
  <tableColumns count="7">
    <tableColumn id="1" xr3:uid="{00000000-0010-0000-0600-000001000000}" name="Источник" dataDxfId="6"/>
    <tableColumn id="2" xr3:uid="{00000000-0010-0000-0600-000002000000}" name="URL" dataDxfId="5"/>
    <tableColumn id="3" xr3:uid="{00000000-0010-0000-0600-000003000000}" name="Что брать" dataDxfId="4"/>
    <tableColumn id="4" xr3:uid="{00000000-0010-0000-0600-000004000000}" name="Для какой силы/фактора" dataDxfId="3"/>
    <tableColumn id="5" xr3:uid="{00000000-0010-0000-0600-000005000000}" name="Формат фиксации" dataDxfId="2"/>
    <tableColumn id="6" xr3:uid="{00000000-0010-0000-0600-000006000000}" name="Дата обращения" dataDxfId="1"/>
    <tableColumn id="7" xr3:uid="{00000000-0010-0000-0600-000007000000}" name="Огранич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C1" workbookViewId="0">
      <selection activeCell="D25" sqref="D25"/>
    </sheetView>
  </sheetViews>
  <sheetFormatPr defaultRowHeight="14.25"/>
  <cols>
    <col min="1" max="1" width="55.625" customWidth="1"/>
    <col min="2" max="2" width="49.625" customWidth="1"/>
    <col min="3" max="5" width="55.625" customWidth="1"/>
    <col min="6" max="9" width="9.625" customWidth="1"/>
  </cols>
  <sheetData>
    <row r="1" spans="1:9" ht="18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15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2"/>
      <c r="G4" s="2"/>
      <c r="H4" s="2"/>
      <c r="I4" s="2"/>
    </row>
    <row r="5" spans="1:9">
      <c r="A5" s="1" t="s">
        <v>7</v>
      </c>
      <c r="B5" s="1" t="s">
        <v>396</v>
      </c>
      <c r="C5" s="1" t="s">
        <v>397</v>
      </c>
      <c r="D5" s="1" t="s">
        <v>398</v>
      </c>
      <c r="E5" s="1" t="s">
        <v>399</v>
      </c>
      <c r="F5" s="2"/>
      <c r="G5" s="2"/>
      <c r="H5" s="2"/>
      <c r="I5" s="2"/>
    </row>
    <row r="6" spans="1:9">
      <c r="A6" s="1" t="s">
        <v>8</v>
      </c>
      <c r="B6" s="1" t="s">
        <v>400</v>
      </c>
      <c r="C6" s="1" t="s">
        <v>401</v>
      </c>
      <c r="D6" s="1" t="s">
        <v>402</v>
      </c>
      <c r="E6" s="1" t="s">
        <v>403</v>
      </c>
      <c r="F6" s="2"/>
      <c r="G6" s="2"/>
      <c r="H6" s="2"/>
      <c r="I6" s="2"/>
    </row>
    <row r="7" spans="1:9">
      <c r="A7" s="1" t="s">
        <v>9</v>
      </c>
      <c r="B7" s="1" t="s">
        <v>404</v>
      </c>
      <c r="C7" s="1" t="s">
        <v>405</v>
      </c>
      <c r="D7" s="1" t="s">
        <v>406</v>
      </c>
      <c r="E7" s="1" t="s">
        <v>407</v>
      </c>
      <c r="F7" s="2"/>
      <c r="G7" s="2"/>
      <c r="H7" s="2"/>
      <c r="I7" s="2"/>
    </row>
    <row r="8" spans="1:9" ht="28.5">
      <c r="A8" s="1" t="s">
        <v>10</v>
      </c>
      <c r="B8" s="1" t="s">
        <v>408</v>
      </c>
      <c r="C8" s="1" t="s">
        <v>409</v>
      </c>
      <c r="D8" s="1" t="s">
        <v>410</v>
      </c>
      <c r="E8" s="1" t="s">
        <v>411</v>
      </c>
      <c r="F8" s="2"/>
      <c r="G8" s="2"/>
      <c r="H8" s="2"/>
      <c r="I8" s="2"/>
    </row>
    <row r="9" spans="1:9" ht="28.5">
      <c r="A9" s="1" t="s">
        <v>11</v>
      </c>
      <c r="B9" s="1" t="s">
        <v>412</v>
      </c>
      <c r="C9" s="1" t="s">
        <v>413</v>
      </c>
      <c r="D9" s="1" t="s">
        <v>414</v>
      </c>
      <c r="E9" s="1" t="s">
        <v>415</v>
      </c>
      <c r="F9" s="2"/>
      <c r="G9" s="2"/>
      <c r="H9" s="2"/>
      <c r="I9" s="2"/>
    </row>
    <row r="10" spans="1:9" ht="28.5">
      <c r="A10" s="1" t="s">
        <v>12</v>
      </c>
      <c r="B10" s="1" t="s">
        <v>416</v>
      </c>
      <c r="C10" s="1" t="s">
        <v>417</v>
      </c>
      <c r="D10" s="1" t="s">
        <v>418</v>
      </c>
      <c r="E10" s="1" t="s">
        <v>419</v>
      </c>
      <c r="F10" s="2"/>
      <c r="G10" s="2"/>
      <c r="H10" s="2"/>
      <c r="I10" s="2"/>
    </row>
    <row r="11" spans="1:9">
      <c r="A11" s="1" t="s">
        <v>13</v>
      </c>
      <c r="B11" s="1" t="s">
        <v>420</v>
      </c>
      <c r="C11" s="1" t="s">
        <v>421</v>
      </c>
      <c r="D11" s="1" t="s">
        <v>422</v>
      </c>
      <c r="E11" s="1" t="s">
        <v>423</v>
      </c>
      <c r="F11" s="2"/>
      <c r="G11" s="2"/>
      <c r="H11" s="2"/>
      <c r="I11" s="2"/>
    </row>
    <row r="12" spans="1:9">
      <c r="A12" s="1" t="s">
        <v>14</v>
      </c>
      <c r="B12" s="1" t="s">
        <v>424</v>
      </c>
      <c r="C12" s="1" t="s">
        <v>425</v>
      </c>
      <c r="D12" s="1" t="s">
        <v>426</v>
      </c>
      <c r="E12" s="1" t="s">
        <v>427</v>
      </c>
      <c r="F12" s="2"/>
      <c r="G12" s="2"/>
      <c r="H12" s="2"/>
      <c r="I12" s="2"/>
    </row>
    <row r="13" spans="1:9">
      <c r="A13" s="1" t="s">
        <v>15</v>
      </c>
      <c r="B13" s="1" t="s">
        <v>428</v>
      </c>
      <c r="C13" s="1" t="s">
        <v>429</v>
      </c>
      <c r="D13" s="1" t="s">
        <v>430</v>
      </c>
      <c r="E13" s="1" t="s">
        <v>431</v>
      </c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 ht="15">
      <c r="A16" s="38" t="s">
        <v>16</v>
      </c>
      <c r="B16" s="38"/>
      <c r="C16" s="38"/>
      <c r="D16" s="38"/>
      <c r="E16" s="38"/>
      <c r="F16" s="38"/>
      <c r="G16" s="38"/>
      <c r="H16" s="38"/>
      <c r="I16" s="38"/>
    </row>
    <row r="17" spans="1:9" ht="30" customHeight="1">
      <c r="A17" s="39" t="s">
        <v>432</v>
      </c>
      <c r="B17" s="39"/>
      <c r="C17" s="39"/>
      <c r="D17" s="39"/>
      <c r="E17" s="39"/>
      <c r="F17" s="39"/>
      <c r="G17" s="39"/>
      <c r="H17" s="39"/>
      <c r="I17" s="39"/>
    </row>
  </sheetData>
  <mergeCells count="4">
    <mergeCell ref="A1:I1"/>
    <mergeCell ref="A2:I2"/>
    <mergeCell ref="A16:I16"/>
    <mergeCell ref="A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B22" sqref="B22"/>
    </sheetView>
  </sheetViews>
  <sheetFormatPr defaultRowHeight="14.25"/>
  <cols>
    <col min="1" max="2" width="55.625" customWidth="1"/>
    <col min="3" max="4" width="14" customWidth="1"/>
    <col min="5" max="5" width="58" customWidth="1"/>
    <col min="6" max="6" width="24" customWidth="1"/>
  </cols>
  <sheetData>
    <row r="1" spans="1:6" ht="18">
      <c r="A1" s="36" t="s">
        <v>17</v>
      </c>
      <c r="B1" s="36"/>
      <c r="C1" s="36"/>
      <c r="D1" s="36"/>
      <c r="E1" s="36"/>
      <c r="F1" s="36"/>
    </row>
    <row r="2" spans="1:6" ht="15" customHeight="1">
      <c r="A2" s="37" t="s">
        <v>18</v>
      </c>
      <c r="B2" s="37"/>
      <c r="C2" s="37"/>
      <c r="D2" s="37"/>
      <c r="E2" s="37"/>
      <c r="F2" s="37"/>
    </row>
    <row r="3" spans="1:6" ht="71.25">
      <c r="A3" s="2" t="s">
        <v>498</v>
      </c>
      <c r="B3" s="2"/>
      <c r="C3" s="2"/>
      <c r="D3" s="2"/>
      <c r="E3" s="2"/>
      <c r="F3" s="2"/>
    </row>
    <row r="4" spans="1:6" ht="1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spans="1:6" ht="57">
      <c r="A5" s="1" t="s">
        <v>25</v>
      </c>
      <c r="B5" s="4" t="s">
        <v>352</v>
      </c>
      <c r="C5" s="1"/>
      <c r="D5" s="1" t="s">
        <v>26</v>
      </c>
      <c r="E5" s="1" t="s">
        <v>433</v>
      </c>
      <c r="F5" s="1"/>
    </row>
    <row r="6" spans="1:6">
      <c r="A6" s="1" t="s">
        <v>27</v>
      </c>
      <c r="B6" s="4" t="s">
        <v>28</v>
      </c>
      <c r="C6" s="1"/>
      <c r="D6" s="1" t="s">
        <v>26</v>
      </c>
      <c r="E6" s="1" t="s">
        <v>434</v>
      </c>
      <c r="F6" s="1"/>
    </row>
    <row r="7" spans="1:6" ht="42.75">
      <c r="A7" s="1" t="s">
        <v>29</v>
      </c>
      <c r="B7" s="4" t="s">
        <v>368</v>
      </c>
      <c r="C7" s="1"/>
      <c r="D7" s="1" t="s">
        <v>26</v>
      </c>
      <c r="E7" s="1" t="s">
        <v>435</v>
      </c>
      <c r="F7" s="1"/>
    </row>
    <row r="8" spans="1:6">
      <c r="A8" s="1" t="s">
        <v>30</v>
      </c>
      <c r="B8" s="5">
        <v>46294.916666666664</v>
      </c>
      <c r="C8" s="1"/>
      <c r="D8" s="1" t="s">
        <v>26</v>
      </c>
      <c r="E8" s="1" t="s">
        <v>436</v>
      </c>
      <c r="F8" s="1"/>
    </row>
    <row r="9" spans="1:6">
      <c r="A9" s="1" t="s">
        <v>31</v>
      </c>
      <c r="B9" s="6">
        <f>COUNTA('02_Конкуренты_SW'!A4:A22)</f>
        <v>19</v>
      </c>
      <c r="C9" s="1" t="s">
        <v>32</v>
      </c>
      <c r="D9" s="1" t="s">
        <v>33</v>
      </c>
      <c r="E9" s="1" t="s">
        <v>437</v>
      </c>
      <c r="F9" s="1" t="s">
        <v>8</v>
      </c>
    </row>
    <row r="10" spans="1:6">
      <c r="A10" s="1" t="s">
        <v>34</v>
      </c>
      <c r="B10" s="7">
        <f>SUM('02_Конкуренты_SW'!E4:E22)</f>
        <v>46938035.700000003</v>
      </c>
      <c r="C10" s="1" t="s">
        <v>438</v>
      </c>
      <c r="D10" s="1" t="s">
        <v>33</v>
      </c>
      <c r="E10" s="1" t="s">
        <v>439</v>
      </c>
      <c r="F10" s="1" t="s">
        <v>8</v>
      </c>
    </row>
    <row r="11" spans="1:6" ht="28.5">
      <c r="A11" s="1" t="s">
        <v>35</v>
      </c>
      <c r="B11" s="8">
        <v>0.6</v>
      </c>
      <c r="C11" s="1" t="s">
        <v>36</v>
      </c>
      <c r="D11" s="1" t="s">
        <v>26</v>
      </c>
      <c r="E11" s="1" t="s">
        <v>440</v>
      </c>
      <c r="F11" s="1"/>
    </row>
    <row r="12" spans="1:6">
      <c r="A12" s="1" t="s">
        <v>37</v>
      </c>
      <c r="B12" s="8">
        <v>0.75</v>
      </c>
      <c r="C12" s="1" t="s">
        <v>36</v>
      </c>
      <c r="D12" s="1" t="s">
        <v>26</v>
      </c>
      <c r="E12" s="1" t="s">
        <v>441</v>
      </c>
      <c r="F12" s="1"/>
    </row>
    <row r="13" spans="1:6">
      <c r="A13" s="1" t="s">
        <v>38</v>
      </c>
      <c r="B13" s="4">
        <v>2500</v>
      </c>
      <c r="C13" s="1" t="s">
        <v>39</v>
      </c>
      <c r="D13" s="1" t="s">
        <v>26</v>
      </c>
      <c r="E13" s="1" t="s">
        <v>442</v>
      </c>
      <c r="F13" s="1"/>
    </row>
    <row r="14" spans="1:6">
      <c r="A14" s="1" t="s">
        <v>40</v>
      </c>
      <c r="B14" s="8">
        <v>0.2</v>
      </c>
      <c r="C14" s="1" t="s">
        <v>36</v>
      </c>
      <c r="D14" s="1" t="s">
        <v>26</v>
      </c>
      <c r="E14" s="1" t="s">
        <v>443</v>
      </c>
      <c r="F14" s="1"/>
    </row>
    <row r="15" spans="1:6" ht="28.5">
      <c r="A15" s="1" t="s">
        <v>41</v>
      </c>
      <c r="B15" s="8">
        <v>0.45</v>
      </c>
      <c r="C15" s="1" t="s">
        <v>36</v>
      </c>
      <c r="D15" s="1" t="s">
        <v>26</v>
      </c>
      <c r="E15" s="1" t="s">
        <v>444</v>
      </c>
      <c r="F15" s="1"/>
    </row>
    <row r="16" spans="1:6">
      <c r="A16" s="1" t="s">
        <v>42</v>
      </c>
      <c r="B16" s="8">
        <v>0.5</v>
      </c>
      <c r="C16" s="1" t="s">
        <v>36</v>
      </c>
      <c r="D16" s="1" t="s">
        <v>26</v>
      </c>
      <c r="E16" s="1" t="s">
        <v>445</v>
      </c>
      <c r="F16" s="1"/>
    </row>
    <row r="17" spans="1:6" ht="28.5">
      <c r="A17" s="1" t="s">
        <v>43</v>
      </c>
      <c r="B17" s="4">
        <v>100</v>
      </c>
      <c r="C17" s="1" t="s">
        <v>44</v>
      </c>
      <c r="D17" s="1" t="s">
        <v>26</v>
      </c>
      <c r="E17" s="1" t="s">
        <v>446</v>
      </c>
      <c r="F17" s="1"/>
    </row>
    <row r="18" spans="1:6" ht="28.5">
      <c r="A18" s="1" t="s">
        <v>45</v>
      </c>
      <c r="B18" s="1">
        <v>30</v>
      </c>
      <c r="C18" s="1" t="s">
        <v>46</v>
      </c>
      <c r="D18" s="1" t="s">
        <v>26</v>
      </c>
      <c r="E18" s="1" t="s">
        <v>447</v>
      </c>
      <c r="F18" s="1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>
      <selection activeCell="K16" sqref="K16"/>
    </sheetView>
  </sheetViews>
  <sheetFormatPr defaultRowHeight="14.25"/>
  <cols>
    <col min="1" max="1" width="27.5" customWidth="1"/>
    <col min="2" max="2" width="22" customWidth="1"/>
    <col min="3" max="3" width="21.875" customWidth="1"/>
    <col min="4" max="4" width="24.625" customWidth="1"/>
    <col min="5" max="5" width="19.625" customWidth="1"/>
    <col min="6" max="6" width="27.625" customWidth="1"/>
    <col min="7" max="7" width="19.625" customWidth="1"/>
    <col min="8" max="8" width="14.625" customWidth="1"/>
    <col min="9" max="9" width="12" customWidth="1"/>
    <col min="10" max="10" width="14.625" customWidth="1"/>
    <col min="11" max="11" width="12" customWidth="1"/>
    <col min="12" max="12" width="14.625" customWidth="1"/>
    <col min="13" max="14" width="12" customWidth="1"/>
    <col min="15" max="15" width="17.625" customWidth="1"/>
    <col min="16" max="16" width="16.625" customWidth="1"/>
    <col min="17" max="17" width="91.25" customWidth="1"/>
  </cols>
  <sheetData>
    <row r="1" spans="1:17" ht="18">
      <c r="A1" s="36" t="s">
        <v>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5" customHeight="1">
      <c r="A2" s="37" t="s">
        <v>448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30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60</v>
      </c>
      <c r="N3" s="3" t="s">
        <v>61</v>
      </c>
      <c r="O3" s="3" t="s">
        <v>62</v>
      </c>
      <c r="P3" s="3" t="s">
        <v>63</v>
      </c>
      <c r="Q3" s="3" t="s">
        <v>23</v>
      </c>
    </row>
    <row r="4" spans="1:17" s="27" customFormat="1" ht="28.5">
      <c r="A4" s="22" t="s">
        <v>295</v>
      </c>
      <c r="B4" s="22" t="s">
        <v>64</v>
      </c>
      <c r="C4" s="23">
        <v>739657</v>
      </c>
      <c r="D4" s="24">
        <v>1</v>
      </c>
      <c r="E4" s="25">
        <f t="shared" ref="E4:E22" si="0">IFERROR(C4*D4,0)</f>
        <v>739657</v>
      </c>
      <c r="F4" s="26">
        <f t="shared" ref="F4:F22" si="1">IFERROR(E4/SUM($E$4:$E$22),0)</f>
        <v>1.5758158367074573E-2</v>
      </c>
      <c r="G4" s="22">
        <v>240</v>
      </c>
      <c r="H4" s="22">
        <v>3.32</v>
      </c>
      <c r="I4" s="24">
        <v>0.45610000000000001</v>
      </c>
      <c r="J4" s="24">
        <v>0.38109999999999999</v>
      </c>
      <c r="K4" s="24">
        <v>0.47249999999999998</v>
      </c>
      <c r="L4" s="24"/>
      <c r="M4" s="24">
        <v>3.6299999999999999E-2</v>
      </c>
      <c r="N4" s="24">
        <v>5.91E-2</v>
      </c>
      <c r="O4" s="24">
        <v>6.9999999999999999E-4</v>
      </c>
      <c r="P4" s="24">
        <v>0.429975</v>
      </c>
      <c r="Q4" s="22" t="s">
        <v>499</v>
      </c>
    </row>
    <row r="5" spans="1:17" s="27" customFormat="1" ht="28.5">
      <c r="A5" s="22" t="s">
        <v>296</v>
      </c>
      <c r="B5" s="22" t="s">
        <v>64</v>
      </c>
      <c r="C5" s="23">
        <v>442646</v>
      </c>
      <c r="D5" s="24">
        <v>1</v>
      </c>
      <c r="E5" s="25">
        <f t="shared" si="0"/>
        <v>442646</v>
      </c>
      <c r="F5" s="26">
        <f t="shared" si="1"/>
        <v>9.4304329825203991E-3</v>
      </c>
      <c r="G5" s="22">
        <v>63</v>
      </c>
      <c r="H5" s="22">
        <v>1.86</v>
      </c>
      <c r="I5" s="24">
        <v>0.68569999999999998</v>
      </c>
      <c r="J5" s="24">
        <v>0.2218</v>
      </c>
      <c r="K5" s="24">
        <v>0.58560000000000001</v>
      </c>
      <c r="L5" s="24">
        <v>1E-4</v>
      </c>
      <c r="M5" s="24">
        <v>1.2500000000000001E-2</v>
      </c>
      <c r="N5" s="24">
        <v>0.16500000000000001</v>
      </c>
      <c r="O5" s="24">
        <v>4.0000000000000002E-4</v>
      </c>
      <c r="P5" s="24"/>
      <c r="Q5" s="22" t="s">
        <v>500</v>
      </c>
    </row>
    <row r="6" spans="1:17" s="27" customFormat="1" ht="42.75">
      <c r="A6" s="22" t="s">
        <v>297</v>
      </c>
      <c r="B6" s="22" t="s">
        <v>64</v>
      </c>
      <c r="C6" s="23">
        <v>2535</v>
      </c>
      <c r="D6" s="24">
        <v>1</v>
      </c>
      <c r="E6" s="25">
        <f t="shared" si="0"/>
        <v>2535</v>
      </c>
      <c r="F6" s="26">
        <f t="shared" si="1"/>
        <v>5.4007372958728218E-5</v>
      </c>
      <c r="G6" s="22">
        <v>2</v>
      </c>
      <c r="H6" s="22">
        <v>1.1399999999999999</v>
      </c>
      <c r="I6" s="24">
        <v>0.50680000000000003</v>
      </c>
      <c r="J6" s="24">
        <v>0.3997</v>
      </c>
      <c r="K6" s="24">
        <v>0.32540000000000002</v>
      </c>
      <c r="L6" s="24">
        <v>1.6199999999999999E-2</v>
      </c>
      <c r="M6" s="24">
        <v>6.8199999999999997E-2</v>
      </c>
      <c r="N6" s="24">
        <v>0.1032</v>
      </c>
      <c r="O6" s="24">
        <v>3.0700000000000002E-2</v>
      </c>
      <c r="P6" s="24">
        <v>0</v>
      </c>
      <c r="Q6" s="22" t="s">
        <v>501</v>
      </c>
    </row>
    <row r="7" spans="1:17" s="27" customFormat="1" ht="28.5">
      <c r="A7" s="22" t="s">
        <v>298</v>
      </c>
      <c r="B7" s="22" t="s">
        <v>64</v>
      </c>
      <c r="C7" s="23">
        <v>61003</v>
      </c>
      <c r="D7" s="24">
        <v>1</v>
      </c>
      <c r="E7" s="25">
        <f t="shared" si="0"/>
        <v>61003</v>
      </c>
      <c r="F7" s="26">
        <f t="shared" si="1"/>
        <v>1.2996496144383816E-3</v>
      </c>
      <c r="G7" s="22">
        <v>83</v>
      </c>
      <c r="H7" s="22">
        <v>3.14</v>
      </c>
      <c r="I7" s="24">
        <v>0.3795</v>
      </c>
      <c r="J7" s="24">
        <v>0.31440000000000001</v>
      </c>
      <c r="K7" s="24">
        <v>0.41370000000000001</v>
      </c>
      <c r="L7" s="24"/>
      <c r="M7" s="24">
        <v>4.2200000000000001E-2</v>
      </c>
      <c r="N7" s="24">
        <v>0.1472</v>
      </c>
      <c r="O7" s="24"/>
      <c r="P7" s="24">
        <v>3.7233000000000002E-2</v>
      </c>
      <c r="Q7" s="22" t="s">
        <v>502</v>
      </c>
    </row>
    <row r="8" spans="1:17" s="27" customFormat="1" ht="28.5">
      <c r="A8" s="22" t="s">
        <v>299</v>
      </c>
      <c r="B8" s="22" t="s">
        <v>346</v>
      </c>
      <c r="C8" s="23">
        <v>33398</v>
      </c>
      <c r="D8" s="24">
        <v>1</v>
      </c>
      <c r="E8" s="25">
        <f t="shared" si="0"/>
        <v>33398</v>
      </c>
      <c r="F8" s="26">
        <f t="shared" si="1"/>
        <v>7.1153382330398627E-4</v>
      </c>
      <c r="G8" s="22">
        <v>37</v>
      </c>
      <c r="H8" s="22">
        <v>1.72</v>
      </c>
      <c r="I8" s="24">
        <v>0.4214</v>
      </c>
      <c r="J8" s="24">
        <v>0.50990000000000002</v>
      </c>
      <c r="K8" s="24">
        <v>0.25619999999999998</v>
      </c>
      <c r="L8" s="24">
        <v>8.0000000000000004E-4</v>
      </c>
      <c r="M8" s="24">
        <v>1.1900000000000001E-2</v>
      </c>
      <c r="N8" s="24">
        <v>0.15579999999999999</v>
      </c>
      <c r="O8" s="24">
        <v>1.4E-3</v>
      </c>
      <c r="P8" s="24">
        <v>0.25185999999999997</v>
      </c>
      <c r="Q8" s="22" t="s">
        <v>503</v>
      </c>
    </row>
    <row r="9" spans="1:17" s="27" customFormat="1" ht="28.5">
      <c r="A9" s="22" t="s">
        <v>300</v>
      </c>
      <c r="B9" s="22" t="s">
        <v>64</v>
      </c>
      <c r="C9" s="23">
        <v>339451</v>
      </c>
      <c r="D9" s="24">
        <v>1</v>
      </c>
      <c r="E9" s="25">
        <f t="shared" si="0"/>
        <v>339451</v>
      </c>
      <c r="F9" s="26">
        <f t="shared" si="1"/>
        <v>7.2318961570860957E-3</v>
      </c>
      <c r="G9" s="22">
        <v>163</v>
      </c>
      <c r="H9" s="22">
        <v>2.74</v>
      </c>
      <c r="I9" s="24">
        <v>0.45569999999999999</v>
      </c>
      <c r="J9" s="24">
        <v>0.43519999999999998</v>
      </c>
      <c r="K9" s="24">
        <v>0.42299999999999999</v>
      </c>
      <c r="L9" s="24"/>
      <c r="M9" s="24">
        <v>1.52E-2</v>
      </c>
      <c r="N9" s="24">
        <v>5.6399999999999999E-2</v>
      </c>
      <c r="O9" s="24">
        <v>1E-3</v>
      </c>
      <c r="P9" s="24">
        <v>7.6139999999999999E-2</v>
      </c>
      <c r="Q9" s="22" t="s">
        <v>504</v>
      </c>
    </row>
    <row r="10" spans="1:17" s="27" customFormat="1" ht="28.5">
      <c r="A10" s="22" t="s">
        <v>301</v>
      </c>
      <c r="B10" s="22" t="s">
        <v>346</v>
      </c>
      <c r="C10" s="23">
        <v>107631</v>
      </c>
      <c r="D10" s="24">
        <v>1</v>
      </c>
      <c r="E10" s="25">
        <f t="shared" si="0"/>
        <v>107631</v>
      </c>
      <c r="F10" s="26">
        <f t="shared" si="1"/>
        <v>2.2930444019411745E-3</v>
      </c>
      <c r="G10" s="22">
        <v>29</v>
      </c>
      <c r="H10" s="22">
        <v>1.78</v>
      </c>
      <c r="I10" s="24">
        <v>0.43009999999999998</v>
      </c>
      <c r="J10" s="24">
        <v>0.15049999999999999</v>
      </c>
      <c r="K10" s="24">
        <v>0.78339999999999999</v>
      </c>
      <c r="L10" s="24">
        <v>1E-4</v>
      </c>
      <c r="M10" s="24">
        <v>1.06E-2</v>
      </c>
      <c r="N10" s="24">
        <v>3.4599999999999999E-2</v>
      </c>
      <c r="O10" s="24">
        <v>1.4E-3</v>
      </c>
      <c r="P10" s="24">
        <v>0.69731500000000002</v>
      </c>
      <c r="Q10" s="22" t="s">
        <v>505</v>
      </c>
    </row>
    <row r="11" spans="1:17" s="27" customFormat="1" ht="28.5">
      <c r="A11" s="22" t="s">
        <v>302</v>
      </c>
      <c r="B11" s="22" t="s">
        <v>64</v>
      </c>
      <c r="C11" s="23">
        <v>1516000</v>
      </c>
      <c r="D11" s="24">
        <v>1</v>
      </c>
      <c r="E11" s="25">
        <f t="shared" si="0"/>
        <v>1516000</v>
      </c>
      <c r="F11" s="26">
        <f t="shared" si="1"/>
        <v>3.2297900357172379E-2</v>
      </c>
      <c r="G11" s="22">
        <v>98</v>
      </c>
      <c r="H11" s="22">
        <v>2.52</v>
      </c>
      <c r="I11" s="24">
        <v>0.4874</v>
      </c>
      <c r="J11" s="24">
        <v>0.22919999999999999</v>
      </c>
      <c r="K11" s="24">
        <v>0.67310000000000003</v>
      </c>
      <c r="L11" s="24">
        <v>2.0000000000000001E-4</v>
      </c>
      <c r="M11" s="24">
        <v>2.7699999999999999E-2</v>
      </c>
      <c r="N11" s="24">
        <v>4.7800000000000002E-2</v>
      </c>
      <c r="O11" s="24">
        <v>5.9999999999999995E-4</v>
      </c>
      <c r="P11" s="24">
        <v>7.4063000000000004E-2</v>
      </c>
      <c r="Q11" s="22" t="s">
        <v>506</v>
      </c>
    </row>
    <row r="12" spans="1:17" s="27" customFormat="1" ht="28.5">
      <c r="A12" s="22" t="s">
        <v>303</v>
      </c>
      <c r="B12" s="22" t="s">
        <v>346</v>
      </c>
      <c r="C12" s="23">
        <v>149507</v>
      </c>
      <c r="D12" s="24">
        <v>1</v>
      </c>
      <c r="E12" s="25">
        <f t="shared" si="0"/>
        <v>149507</v>
      </c>
      <c r="F12" s="26">
        <f t="shared" si="1"/>
        <v>3.1851993329154163E-3</v>
      </c>
      <c r="G12" s="22">
        <v>57</v>
      </c>
      <c r="H12" s="22">
        <v>2.0499999999999998</v>
      </c>
      <c r="I12" s="24">
        <v>0.42520000000000002</v>
      </c>
      <c r="J12" s="24">
        <v>0.27429999999999999</v>
      </c>
      <c r="K12" s="24">
        <v>0.58220000000000005</v>
      </c>
      <c r="L12" s="24">
        <v>1.4800000000000001E-2</v>
      </c>
      <c r="M12" s="24">
        <v>3.1300000000000001E-2</v>
      </c>
      <c r="N12" s="24">
        <v>7.9500000000000001E-2</v>
      </c>
      <c r="O12" s="24"/>
      <c r="P12" s="24">
        <v>0.12537000000000001</v>
      </c>
      <c r="Q12" s="22" t="s">
        <v>507</v>
      </c>
    </row>
    <row r="13" spans="1:17" s="27" customFormat="1" ht="28.5">
      <c r="A13" s="22" t="s">
        <v>304</v>
      </c>
      <c r="B13" s="22" t="s">
        <v>346</v>
      </c>
      <c r="C13" s="23">
        <v>199080</v>
      </c>
      <c r="D13" s="24">
        <v>1</v>
      </c>
      <c r="E13" s="25">
        <f t="shared" si="0"/>
        <v>199080</v>
      </c>
      <c r="F13" s="26">
        <f t="shared" si="1"/>
        <v>4.2413364136582301E-3</v>
      </c>
      <c r="G13" s="22">
        <v>94</v>
      </c>
      <c r="H13" s="22">
        <v>2</v>
      </c>
      <c r="I13" s="24">
        <v>0.39639999999999997</v>
      </c>
      <c r="J13" s="24">
        <v>0.55200000000000005</v>
      </c>
      <c r="K13" s="24">
        <v>0.3518</v>
      </c>
      <c r="L13" s="24"/>
      <c r="M13" s="24">
        <v>1.66E-2</v>
      </c>
      <c r="N13" s="24">
        <v>4.1099999999999998E-2</v>
      </c>
      <c r="O13" s="24">
        <v>5.0000000000000001E-4</v>
      </c>
      <c r="P13" s="24">
        <v>0.30958400000000003</v>
      </c>
      <c r="Q13" s="22" t="s">
        <v>508</v>
      </c>
    </row>
    <row r="14" spans="1:17" s="27" customFormat="1" ht="42.75">
      <c r="A14" s="22" t="s">
        <v>305</v>
      </c>
      <c r="B14" s="22" t="s">
        <v>347</v>
      </c>
      <c r="C14" s="23">
        <v>92936</v>
      </c>
      <c r="D14" s="24">
        <v>1</v>
      </c>
      <c r="E14" s="25">
        <f t="shared" si="0"/>
        <v>92936</v>
      </c>
      <c r="F14" s="26">
        <f t="shared" si="1"/>
        <v>1.9799720762494542E-3</v>
      </c>
      <c r="G14" s="22">
        <v>231</v>
      </c>
      <c r="H14" s="22">
        <v>5.25</v>
      </c>
      <c r="I14" s="24">
        <v>0.41499999999999998</v>
      </c>
      <c r="J14" s="24">
        <v>0.57330000000000003</v>
      </c>
      <c r="K14" s="24">
        <v>0.20910000000000001</v>
      </c>
      <c r="L14" s="24">
        <v>1.32E-2</v>
      </c>
      <c r="M14" s="24">
        <v>3.1899999999999998E-2</v>
      </c>
      <c r="N14" s="24">
        <v>0.1072</v>
      </c>
      <c r="O14" s="24">
        <v>1.01E-2</v>
      </c>
      <c r="P14" s="24">
        <v>2.6675999999999998E-2</v>
      </c>
      <c r="Q14" s="22" t="s">
        <v>509</v>
      </c>
    </row>
    <row r="15" spans="1:17" s="27" customFormat="1" ht="28.5">
      <c r="A15" s="22" t="s">
        <v>306</v>
      </c>
      <c r="B15" s="22" t="s">
        <v>64</v>
      </c>
      <c r="C15" s="23">
        <v>8497000</v>
      </c>
      <c r="D15" s="24">
        <v>1</v>
      </c>
      <c r="E15" s="25">
        <f t="shared" si="0"/>
        <v>8497000</v>
      </c>
      <c r="F15" s="26">
        <f t="shared" si="1"/>
        <v>0.18102589665890087</v>
      </c>
      <c r="G15" s="22">
        <v>226</v>
      </c>
      <c r="H15" s="22">
        <v>3.19</v>
      </c>
      <c r="I15" s="24">
        <v>0.54720000000000002</v>
      </c>
      <c r="J15" s="24">
        <v>0.68389999999999995</v>
      </c>
      <c r="K15" s="24">
        <v>0.1396</v>
      </c>
      <c r="L15" s="24">
        <v>2.0000000000000001E-4</v>
      </c>
      <c r="M15" s="24">
        <v>2.12E-2</v>
      </c>
      <c r="N15" s="24">
        <v>9.7199999999999995E-2</v>
      </c>
      <c r="O15" s="24">
        <v>1.9300000000000001E-2</v>
      </c>
      <c r="P15" s="24"/>
      <c r="Q15" s="22" t="s">
        <v>510</v>
      </c>
    </row>
    <row r="16" spans="1:17" s="27" customFormat="1" ht="42.75">
      <c r="A16" s="22" t="s">
        <v>307</v>
      </c>
      <c r="B16" s="22" t="s">
        <v>64</v>
      </c>
      <c r="C16" s="23">
        <v>703574</v>
      </c>
      <c r="D16" s="24">
        <v>1</v>
      </c>
      <c r="E16" s="25">
        <f t="shared" si="0"/>
        <v>703574</v>
      </c>
      <c r="F16" s="26">
        <f t="shared" si="1"/>
        <v>1.498942146826992E-2</v>
      </c>
      <c r="G16" s="22">
        <v>31</v>
      </c>
      <c r="H16" s="22">
        <v>1.41</v>
      </c>
      <c r="I16" s="24">
        <v>0.65490000000000004</v>
      </c>
      <c r="J16" s="24">
        <v>0.1133</v>
      </c>
      <c r="K16" s="24">
        <v>0.5595</v>
      </c>
      <c r="L16" s="24">
        <v>0.22550000000000001</v>
      </c>
      <c r="M16" s="24">
        <v>1.5599999999999999E-2</v>
      </c>
      <c r="N16" s="24">
        <v>2.7099999999999999E-2</v>
      </c>
      <c r="O16" s="24">
        <v>3.5999999999999997E-2</v>
      </c>
      <c r="P16" s="24">
        <v>0.56520000000000004</v>
      </c>
      <c r="Q16" s="22" t="s">
        <v>511</v>
      </c>
    </row>
    <row r="17" spans="1:17" s="27" customFormat="1" ht="28.5">
      <c r="A17" s="22" t="s">
        <v>308</v>
      </c>
      <c r="B17" s="22" t="s">
        <v>64</v>
      </c>
      <c r="C17" s="23">
        <v>784067</v>
      </c>
      <c r="D17" s="24">
        <v>1</v>
      </c>
      <c r="E17" s="25">
        <f t="shared" si="0"/>
        <v>784067</v>
      </c>
      <c r="F17" s="26">
        <f t="shared" si="1"/>
        <v>1.6704299366323928E-2</v>
      </c>
      <c r="G17" s="22">
        <v>138</v>
      </c>
      <c r="H17" s="22">
        <v>8.57</v>
      </c>
      <c r="I17" s="24">
        <v>0.42980000000000002</v>
      </c>
      <c r="J17" s="24">
        <v>0.1905</v>
      </c>
      <c r="K17" s="24">
        <v>0.73180000000000001</v>
      </c>
      <c r="L17" s="24">
        <v>7.1000000000000004E-3</v>
      </c>
      <c r="M17" s="24">
        <v>2.1999999999999999E-2</v>
      </c>
      <c r="N17" s="24">
        <v>2.76E-2</v>
      </c>
      <c r="O17" s="24">
        <v>1.1999999999999999E-3</v>
      </c>
      <c r="P17" s="24">
        <v>3.6944999999999999E-2</v>
      </c>
      <c r="Q17" s="22" t="s">
        <v>512</v>
      </c>
    </row>
    <row r="18" spans="1:17" s="27" customFormat="1" ht="28.5">
      <c r="A18" s="22" t="s">
        <v>309</v>
      </c>
      <c r="B18" s="22" t="s">
        <v>347</v>
      </c>
      <c r="C18" s="23">
        <v>27510000</v>
      </c>
      <c r="D18" s="24">
        <v>1</v>
      </c>
      <c r="E18" s="25">
        <f t="shared" si="0"/>
        <v>27510000</v>
      </c>
      <c r="F18" s="26">
        <f t="shared" si="1"/>
        <v>0.58609184619116894</v>
      </c>
      <c r="G18" s="22">
        <v>200</v>
      </c>
      <c r="H18" s="22">
        <v>2.97</v>
      </c>
      <c r="I18" s="24">
        <v>0.50029999999999997</v>
      </c>
      <c r="J18" s="24">
        <v>0.65720000000000001</v>
      </c>
      <c r="K18" s="24">
        <v>0.122</v>
      </c>
      <c r="L18" s="24">
        <v>6.4999999999999997E-3</v>
      </c>
      <c r="M18" s="24">
        <v>8.5300000000000001E-2</v>
      </c>
      <c r="N18" s="24">
        <v>7.8399999999999997E-2</v>
      </c>
      <c r="O18" s="24">
        <v>4.1000000000000003E-3</v>
      </c>
      <c r="P18" s="24">
        <v>9.6375000000000002E-2</v>
      </c>
      <c r="Q18" s="22" t="s">
        <v>513</v>
      </c>
    </row>
    <row r="19" spans="1:17" s="27" customFormat="1" ht="28.5">
      <c r="A19" s="22" t="s">
        <v>310</v>
      </c>
      <c r="B19" s="22" t="s">
        <v>64</v>
      </c>
      <c r="C19" s="23">
        <v>4253000</v>
      </c>
      <c r="D19" s="24">
        <v>1</v>
      </c>
      <c r="E19" s="25">
        <f t="shared" si="0"/>
        <v>4253000</v>
      </c>
      <c r="F19" s="26">
        <f t="shared" si="1"/>
        <v>9.0608819405708529E-2</v>
      </c>
      <c r="G19" s="22">
        <v>75</v>
      </c>
      <c r="H19" s="22">
        <v>2.0099999999999998</v>
      </c>
      <c r="I19" s="24">
        <v>0.7107</v>
      </c>
      <c r="J19" s="24">
        <v>0.66059999999999997</v>
      </c>
      <c r="K19" s="24">
        <v>0.23780000000000001</v>
      </c>
      <c r="L19" s="24">
        <v>5.0000000000000001E-4</v>
      </c>
      <c r="M19" s="24">
        <v>3.04E-2</v>
      </c>
      <c r="N19" s="24">
        <v>3.3300000000000003E-2</v>
      </c>
      <c r="O19" s="24">
        <v>1.5E-3</v>
      </c>
      <c r="P19" s="24">
        <v>0.21685299999999999</v>
      </c>
      <c r="Q19" s="22" t="s">
        <v>514</v>
      </c>
    </row>
    <row r="20" spans="1:17" s="27" customFormat="1" ht="28.5">
      <c r="A20" s="22" t="s">
        <v>311</v>
      </c>
      <c r="B20" s="22" t="s">
        <v>64</v>
      </c>
      <c r="C20" s="23">
        <v>655207</v>
      </c>
      <c r="D20" s="24">
        <v>1</v>
      </c>
      <c r="E20" s="25">
        <f t="shared" si="0"/>
        <v>655207</v>
      </c>
      <c r="F20" s="26">
        <f t="shared" si="1"/>
        <v>1.3958977835964276E-2</v>
      </c>
      <c r="G20" s="22">
        <v>194</v>
      </c>
      <c r="H20" s="22">
        <v>2.68</v>
      </c>
      <c r="I20" s="24">
        <v>0.46820000000000001</v>
      </c>
      <c r="J20" s="24">
        <v>0.61729999999999996</v>
      </c>
      <c r="K20" s="24">
        <v>0.18779999999999999</v>
      </c>
      <c r="L20" s="24">
        <v>2.0000000000000001E-4</v>
      </c>
      <c r="M20" s="24">
        <v>5.4399999999999997E-2</v>
      </c>
      <c r="N20" s="24">
        <v>7.0599999999999996E-2</v>
      </c>
      <c r="O20" s="24">
        <v>2.5999999999999999E-3</v>
      </c>
      <c r="P20" s="24">
        <v>0.10340000000000001</v>
      </c>
      <c r="Q20" s="22" t="s">
        <v>515</v>
      </c>
    </row>
    <row r="21" spans="1:17" s="27" customFormat="1" ht="42.75">
      <c r="A21" s="22" t="s">
        <v>312</v>
      </c>
      <c r="B21" s="22" t="s">
        <v>64</v>
      </c>
      <c r="C21" s="23">
        <v>123677</v>
      </c>
      <c r="D21" s="24">
        <v>1</v>
      </c>
      <c r="E21" s="25">
        <f t="shared" si="0"/>
        <v>123677</v>
      </c>
      <c r="F21" s="26">
        <f t="shared" si="1"/>
        <v>2.6348993551939368E-3</v>
      </c>
      <c r="G21" s="22">
        <v>79</v>
      </c>
      <c r="H21" s="22">
        <v>2.52</v>
      </c>
      <c r="I21" s="24">
        <v>0.42949999999999999</v>
      </c>
      <c r="J21" s="24"/>
      <c r="K21" s="24"/>
      <c r="L21" s="24"/>
      <c r="M21" s="24"/>
      <c r="N21" s="24"/>
      <c r="O21" s="24"/>
      <c r="P21" s="24"/>
      <c r="Q21" s="22" t="s">
        <v>516</v>
      </c>
    </row>
    <row r="22" spans="1:17" s="27" customFormat="1" ht="42.75">
      <c r="A22" s="22" t="s">
        <v>313</v>
      </c>
      <c r="B22" s="22" t="s">
        <v>64</v>
      </c>
      <c r="C22" s="23">
        <v>727666.7</v>
      </c>
      <c r="D22" s="24">
        <v>1</v>
      </c>
      <c r="E22" s="25">
        <f t="shared" si="0"/>
        <v>727666.7</v>
      </c>
      <c r="F22" s="26">
        <f t="shared" si="1"/>
        <v>1.5502708819150689E-2</v>
      </c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2" t="s">
        <v>517</v>
      </c>
    </row>
    <row r="23" spans="1:17" ht="15">
      <c r="A23" s="3" t="s">
        <v>65</v>
      </c>
      <c r="B23" s="3" t="s">
        <v>66</v>
      </c>
      <c r="C23" s="3" t="s">
        <v>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42.75">
      <c r="A24" s="1" t="s">
        <v>34</v>
      </c>
      <c r="B24" s="7">
        <f>SUM(E4:E22)</f>
        <v>46938035.700000003</v>
      </c>
      <c r="C24" s="1" t="s">
        <v>68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8.5">
      <c r="A25" s="1" t="s">
        <v>69</v>
      </c>
      <c r="B25" s="11">
        <f>LARGE(F4:F22,1)+LARGE(F4:F22,2)+LARGE(F4:F22,3)</f>
        <v>0.85772656225577837</v>
      </c>
      <c r="C25" s="1" t="s">
        <v>70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28.5">
      <c r="A26" s="1" t="s">
        <v>71</v>
      </c>
      <c r="B26" s="11">
        <f>LARGE(F4:F22,1)+LARGE(F4:F22,2)+LARGE(F4:F22,3)+LARGE(F4:F22,4)+LARGE(F4:F22,5)</f>
        <v>0.90672876197927466</v>
      </c>
      <c r="C26" s="1" t="s">
        <v>72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42.75">
      <c r="A27" s="1" t="s">
        <v>73</v>
      </c>
      <c r="B27" s="12">
        <f>SUMSQ(F4:F22)*10000</f>
        <v>3869.0205006645256</v>
      </c>
      <c r="C27" s="1" t="s">
        <v>74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28.5">
      <c r="A28" s="1" t="s">
        <v>75</v>
      </c>
      <c r="B28" s="12">
        <f>IFERROR(SUMPRODUCT(E4:E22,G4:G22)/SUM(E4:E22),0)</f>
        <v>180.57043556682112</v>
      </c>
      <c r="C28" s="1" t="s">
        <v>76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mergeCells count="2">
    <mergeCell ref="A1:Q1"/>
    <mergeCell ref="A2:Q2"/>
  </mergeCells>
  <dataValidations count="1">
    <dataValidation type="list" sqref="B4:B22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topLeftCell="E1" workbookViewId="0">
      <selection activeCell="C14" sqref="C14"/>
    </sheetView>
  </sheetViews>
  <sheetFormatPr defaultRowHeight="14.25"/>
  <cols>
    <col min="1" max="1" width="29.75" customWidth="1"/>
    <col min="2" max="2" width="28.625" customWidth="1"/>
    <col min="3" max="3" width="24.625" customWidth="1"/>
    <col min="4" max="4" width="25.625" customWidth="1"/>
    <col min="5" max="5" width="20.625" customWidth="1"/>
    <col min="6" max="7" width="55.625" customWidth="1"/>
    <col min="8" max="8" width="51.625" customWidth="1"/>
    <col min="9" max="9" width="34.625" customWidth="1"/>
  </cols>
  <sheetData>
    <row r="1" spans="1:9" ht="18">
      <c r="A1" s="36" t="s">
        <v>77</v>
      </c>
      <c r="B1" s="36"/>
      <c r="C1" s="36"/>
      <c r="D1" s="36"/>
      <c r="E1" s="36"/>
      <c r="F1" s="36"/>
      <c r="G1" s="36"/>
      <c r="H1" s="36"/>
      <c r="I1" s="36"/>
    </row>
    <row r="2" spans="1:9" ht="15" customHeight="1">
      <c r="A2" s="37" t="s">
        <v>78</v>
      </c>
      <c r="B2" s="37"/>
      <c r="C2" s="37"/>
      <c r="D2" s="37"/>
      <c r="E2" s="37"/>
      <c r="F2" s="37"/>
      <c r="G2" s="37"/>
      <c r="H2" s="37"/>
      <c r="I2" s="37"/>
    </row>
    <row r="3" spans="1:9" ht="30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67</v>
      </c>
      <c r="G3" s="3" t="s">
        <v>84</v>
      </c>
      <c r="H3" s="3" t="s">
        <v>85</v>
      </c>
      <c r="I3" s="3" t="s">
        <v>86</v>
      </c>
    </row>
    <row r="4" spans="1:9">
      <c r="A4" s="1" t="s">
        <v>57</v>
      </c>
      <c r="B4" s="1" t="s">
        <v>87</v>
      </c>
      <c r="C4" s="10">
        <f>IFERROR(SUMPRODUCT('02_Конкуренты_SW'!$E$4:$E$22,'02_Конкуренты_SW'!$J$4:$J$22)/SUM('02_Конкуренты_SW'!$E$4:$E$22),0)</f>
        <v>0.60647195653311081</v>
      </c>
      <c r="D4" s="10">
        <v>0.3</v>
      </c>
      <c r="E4" s="13">
        <f t="shared" ref="E4:E10" si="0">IF(C4&gt;=D4,5,IF(C4&gt;=D4*0.65,3,1))</f>
        <v>5</v>
      </c>
      <c r="F4" s="1" t="s">
        <v>449</v>
      </c>
      <c r="G4" s="1" t="s">
        <v>450</v>
      </c>
      <c r="H4" s="1" t="s">
        <v>451</v>
      </c>
      <c r="I4" s="1" t="s">
        <v>88</v>
      </c>
    </row>
    <row r="5" spans="1:9" ht="28.5">
      <c r="A5" s="1" t="s">
        <v>89</v>
      </c>
      <c r="B5" s="1" t="s">
        <v>90</v>
      </c>
      <c r="C5" s="10">
        <f>IFERROR(SUMPRODUCT('02_Конкуренты_SW'!$E$4:$E$22,'02_Конкуренты_SW'!$K$4:$K$22)/SUM('02_Конкуренты_SW'!$E$4:$E$22),0)</f>
        <v>0.1856149238345737</v>
      </c>
      <c r="D5" s="10">
        <f>'01_Параметры'!B15</f>
        <v>0.45</v>
      </c>
      <c r="E5" s="13">
        <f t="shared" si="0"/>
        <v>1</v>
      </c>
      <c r="F5" s="1" t="s">
        <v>452</v>
      </c>
      <c r="G5" s="1" t="s">
        <v>453</v>
      </c>
      <c r="H5" s="1" t="s">
        <v>454</v>
      </c>
      <c r="I5" s="1" t="s">
        <v>91</v>
      </c>
    </row>
    <row r="6" spans="1:9">
      <c r="A6" s="1" t="s">
        <v>59</v>
      </c>
      <c r="B6" s="1" t="s">
        <v>92</v>
      </c>
      <c r="C6" s="10">
        <f>IFERROR(SUMPRODUCT('02_Конкуренты_SW'!$E$4:$E$22,'02_Конкуренты_SW'!$L$4:$L$22)/SUM('02_Конкуренты_SW'!$E$4:$E$22),0)</f>
        <v>7.4749661072842895E-3</v>
      </c>
      <c r="D6" s="10">
        <f>'01_Параметры'!B14</f>
        <v>0.2</v>
      </c>
      <c r="E6" s="13">
        <f t="shared" si="0"/>
        <v>1</v>
      </c>
      <c r="F6" s="1" t="s">
        <v>455</v>
      </c>
      <c r="G6" s="1" t="s">
        <v>456</v>
      </c>
      <c r="H6" s="1" t="s">
        <v>457</v>
      </c>
      <c r="I6" s="1" t="s">
        <v>93</v>
      </c>
    </row>
    <row r="7" spans="1:9">
      <c r="A7" s="1" t="s">
        <v>94</v>
      </c>
      <c r="B7" s="1" t="s">
        <v>95</v>
      </c>
      <c r="C7" s="10">
        <f>IFERROR(SUMPRODUCT('02_Конкуренты_SW'!$E$4:$E$22,'02_Конкуренты_SW'!$M$4:$M$22)/SUM('02_Конкуренты_SW'!$E$4:$E$22),0)</f>
        <v>5.9965633849479547E-2</v>
      </c>
      <c r="D7" s="10">
        <v>0.2</v>
      </c>
      <c r="E7" s="13">
        <f t="shared" si="0"/>
        <v>1</v>
      </c>
      <c r="F7" s="1" t="s">
        <v>458</v>
      </c>
      <c r="G7" s="1" t="s">
        <v>459</v>
      </c>
      <c r="H7" s="1" t="s">
        <v>460</v>
      </c>
      <c r="I7" s="1" t="s">
        <v>96</v>
      </c>
    </row>
    <row r="8" spans="1:9">
      <c r="A8" s="1" t="s">
        <v>97</v>
      </c>
      <c r="B8" s="1" t="s">
        <v>98</v>
      </c>
      <c r="C8" s="10">
        <f>IFERROR(SUMPRODUCT('02_Конкуренты_SW'!$E$4:$E$22,'02_Конкуренты_SW'!$N$4:$N$22)/SUM('02_Конкуренты_SW'!$E$4:$E$22),0)</f>
        <v>7.3881268154559782E-2</v>
      </c>
      <c r="D8" s="10">
        <v>0.15</v>
      </c>
      <c r="E8" s="13">
        <f t="shared" si="0"/>
        <v>1</v>
      </c>
      <c r="F8" s="1" t="s">
        <v>461</v>
      </c>
      <c r="G8" s="1" t="s">
        <v>462</v>
      </c>
      <c r="H8" s="1" t="s">
        <v>463</v>
      </c>
      <c r="I8" s="1" t="s">
        <v>99</v>
      </c>
    </row>
    <row r="9" spans="1:9">
      <c r="A9" s="1" t="s">
        <v>62</v>
      </c>
      <c r="B9" s="1" t="s">
        <v>100</v>
      </c>
      <c r="C9" s="10">
        <f>IFERROR(SUMPRODUCT('02_Конкуренты_SW'!$E$4:$E$22,'02_Конкуренты_SW'!$O$4:$O$22)/SUM('02_Конкуренты_SW'!$E$4:$E$22),0)</f>
        <v>6.6980436209434311E-3</v>
      </c>
      <c r="D9" s="10">
        <v>0.1</v>
      </c>
      <c r="E9" s="13">
        <f t="shared" si="0"/>
        <v>1</v>
      </c>
      <c r="F9" s="1" t="s">
        <v>464</v>
      </c>
      <c r="G9" s="1" t="s">
        <v>465</v>
      </c>
      <c r="H9" s="1" t="s">
        <v>466</v>
      </c>
      <c r="I9" s="1" t="s">
        <v>101</v>
      </c>
    </row>
    <row r="10" spans="1:9">
      <c r="A10" s="1" t="s">
        <v>102</v>
      </c>
      <c r="B10" s="1" t="s">
        <v>103</v>
      </c>
      <c r="C10" s="10">
        <f>IFERROR(SUMPRODUCT('02_Конкуренты_SW'!$E$4:$E$22,('02_Конкуренты_SW'!$J$4:$J$22+'02_Конкуренты_SW'!$P$4:$P$22))/SUM('02_Конкуренты_SW'!$E$4:$E$22),0)</f>
        <v>0.70644796938573218</v>
      </c>
      <c r="D10" s="10">
        <f>'01_Параметры'!B16</f>
        <v>0.5</v>
      </c>
      <c r="E10" s="13">
        <f t="shared" si="0"/>
        <v>5</v>
      </c>
      <c r="F10" s="1" t="s">
        <v>467</v>
      </c>
      <c r="G10" s="1" t="s">
        <v>468</v>
      </c>
      <c r="H10" s="1" t="s">
        <v>469</v>
      </c>
      <c r="I10" s="1" t="s">
        <v>104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topLeftCell="G1" workbookViewId="0">
      <selection activeCell="G17" sqref="G17"/>
    </sheetView>
  </sheetViews>
  <sheetFormatPr defaultRowHeight="14.25"/>
  <cols>
    <col min="1" max="1" width="43.375" customWidth="1"/>
    <col min="2" max="2" width="18" customWidth="1"/>
    <col min="3" max="3" width="55.625" customWidth="1"/>
    <col min="4" max="4" width="21" customWidth="1"/>
    <col min="5" max="5" width="17.625" customWidth="1"/>
    <col min="6" max="6" width="24.625" customWidth="1"/>
    <col min="7" max="7" width="21.625" customWidth="1"/>
    <col min="8" max="8" width="26.625" customWidth="1"/>
    <col min="9" max="9" width="25.625" customWidth="1"/>
    <col min="10" max="10" width="21.625" customWidth="1"/>
    <col min="11" max="11" width="16.625" customWidth="1"/>
    <col min="12" max="12" width="20.625" customWidth="1"/>
    <col min="13" max="13" width="97.125" customWidth="1"/>
  </cols>
  <sheetData>
    <row r="1" spans="1:13" ht="18">
      <c r="A1" s="36" t="s">
        <v>105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" customHeight="1">
      <c r="A2" s="37" t="s">
        <v>106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30">
      <c r="A3" s="3" t="s">
        <v>107</v>
      </c>
      <c r="B3" s="3" t="s">
        <v>108</v>
      </c>
      <c r="C3" s="3" t="s">
        <v>86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  <c r="I3" s="3" t="s">
        <v>114</v>
      </c>
      <c r="J3" s="3" t="s">
        <v>115</v>
      </c>
      <c r="K3" s="3" t="s">
        <v>116</v>
      </c>
      <c r="L3" s="3" t="s">
        <v>83</v>
      </c>
      <c r="M3" s="3" t="s">
        <v>23</v>
      </c>
    </row>
    <row r="4" spans="1:13" s="21" customFormat="1" ht="57">
      <c r="A4" s="18" t="s">
        <v>314</v>
      </c>
      <c r="B4" s="18" t="s">
        <v>348</v>
      </c>
      <c r="C4" s="18" t="s">
        <v>349</v>
      </c>
      <c r="D4" s="19">
        <v>652</v>
      </c>
      <c r="E4" s="28">
        <v>0.3</v>
      </c>
      <c r="F4" s="28">
        <v>0.15</v>
      </c>
      <c r="G4" s="29">
        <v>45</v>
      </c>
      <c r="H4" s="18">
        <v>10</v>
      </c>
      <c r="I4" s="18">
        <v>2</v>
      </c>
      <c r="J4" s="18">
        <v>2</v>
      </c>
      <c r="K4" s="20">
        <f t="shared" ref="K4:K13" si="0">MIN(1,AVERAGE(MIN(E4/2,1),F4,G4/100,MIN(H4/10,1),MIN(J4/50,1)))</f>
        <v>0.35799999999999998</v>
      </c>
      <c r="L4" s="30">
        <f t="shared" ref="L4:L13" si="1">IF(K4&gt;=0.7,5,IF(K4&gt;=0.4,3,1))</f>
        <v>1</v>
      </c>
      <c r="M4" s="31" t="s">
        <v>518</v>
      </c>
    </row>
    <row r="5" spans="1:13" s="21" customFormat="1" ht="28.5">
      <c r="A5" s="18" t="s">
        <v>315</v>
      </c>
      <c r="B5" s="18" t="s">
        <v>348</v>
      </c>
      <c r="C5" s="18" t="s">
        <v>349</v>
      </c>
      <c r="D5" s="19">
        <v>473</v>
      </c>
      <c r="E5" s="28">
        <v>0.45</v>
      </c>
      <c r="F5" s="28">
        <v>0.2</v>
      </c>
      <c r="G5" s="29">
        <v>38</v>
      </c>
      <c r="H5" s="18">
        <v>10</v>
      </c>
      <c r="I5" s="18">
        <v>1</v>
      </c>
      <c r="J5" s="18">
        <v>1</v>
      </c>
      <c r="K5" s="20">
        <f t="shared" si="0"/>
        <v>0.36500000000000005</v>
      </c>
      <c r="L5" s="30">
        <f t="shared" si="1"/>
        <v>1</v>
      </c>
      <c r="M5" s="31" t="s">
        <v>387</v>
      </c>
    </row>
    <row r="6" spans="1:13" s="21" customFormat="1" ht="42.75">
      <c r="A6" s="18" t="s">
        <v>316</v>
      </c>
      <c r="B6" s="18" t="s">
        <v>350</v>
      </c>
      <c r="C6" s="18" t="s">
        <v>349</v>
      </c>
      <c r="D6" s="19">
        <v>200</v>
      </c>
      <c r="E6" s="28">
        <v>1.24</v>
      </c>
      <c r="F6" s="28">
        <v>0.1</v>
      </c>
      <c r="G6" s="29">
        <v>25</v>
      </c>
      <c r="H6" s="18">
        <v>10</v>
      </c>
      <c r="I6" s="18">
        <v>0</v>
      </c>
      <c r="J6" s="18">
        <v>0</v>
      </c>
      <c r="K6" s="20">
        <f t="shared" si="0"/>
        <v>0.39400000000000002</v>
      </c>
      <c r="L6" s="30">
        <f t="shared" si="1"/>
        <v>1</v>
      </c>
      <c r="M6" s="31" t="s">
        <v>388</v>
      </c>
    </row>
    <row r="7" spans="1:13" s="21" customFormat="1" ht="28.5">
      <c r="A7" s="18" t="s">
        <v>317</v>
      </c>
      <c r="B7" s="18" t="s">
        <v>348</v>
      </c>
      <c r="C7" s="18" t="s">
        <v>349</v>
      </c>
      <c r="D7" s="19">
        <v>101</v>
      </c>
      <c r="E7" s="28">
        <v>0.25</v>
      </c>
      <c r="F7" s="28">
        <v>0.05</v>
      </c>
      <c r="G7" s="29">
        <v>20</v>
      </c>
      <c r="H7" s="18">
        <v>10</v>
      </c>
      <c r="I7" s="18">
        <v>0</v>
      </c>
      <c r="J7" s="18">
        <v>0</v>
      </c>
      <c r="K7" s="20">
        <f t="shared" si="0"/>
        <v>0.27500000000000002</v>
      </c>
      <c r="L7" s="30">
        <f t="shared" si="1"/>
        <v>1</v>
      </c>
      <c r="M7" s="31" t="s">
        <v>389</v>
      </c>
    </row>
    <row r="8" spans="1:13" s="21" customFormat="1" ht="28.5">
      <c r="A8" s="18" t="s">
        <v>318</v>
      </c>
      <c r="B8" s="18" t="s">
        <v>348</v>
      </c>
      <c r="C8" s="18" t="s">
        <v>349</v>
      </c>
      <c r="D8" s="19">
        <v>28</v>
      </c>
      <c r="E8" s="28">
        <v>0.35</v>
      </c>
      <c r="F8" s="28">
        <v>0.12</v>
      </c>
      <c r="G8" s="29">
        <v>30</v>
      </c>
      <c r="H8" s="18">
        <v>10</v>
      </c>
      <c r="I8" s="18">
        <v>1</v>
      </c>
      <c r="J8" s="18">
        <v>1</v>
      </c>
      <c r="K8" s="20">
        <f t="shared" si="0"/>
        <v>0.32300000000000001</v>
      </c>
      <c r="L8" s="30">
        <f t="shared" si="1"/>
        <v>1</v>
      </c>
      <c r="M8" s="31" t="s">
        <v>390</v>
      </c>
    </row>
    <row r="9" spans="1:13" s="21" customFormat="1" ht="28.5">
      <c r="A9" s="18" t="s">
        <v>319</v>
      </c>
      <c r="B9" s="18" t="s">
        <v>348</v>
      </c>
      <c r="C9" s="18" t="s">
        <v>349</v>
      </c>
      <c r="D9" s="19">
        <v>25</v>
      </c>
      <c r="E9" s="28">
        <v>0.35</v>
      </c>
      <c r="F9" s="28">
        <v>0.12</v>
      </c>
      <c r="G9" s="29">
        <v>35</v>
      </c>
      <c r="H9" s="18">
        <v>10</v>
      </c>
      <c r="I9" s="18">
        <v>1</v>
      </c>
      <c r="J9" s="18">
        <v>1</v>
      </c>
      <c r="K9" s="20">
        <f t="shared" si="0"/>
        <v>0.33300000000000002</v>
      </c>
      <c r="L9" s="30">
        <f t="shared" si="1"/>
        <v>1</v>
      </c>
      <c r="M9" s="31" t="s">
        <v>391</v>
      </c>
    </row>
    <row r="10" spans="1:13" s="21" customFormat="1" ht="28.5">
      <c r="A10" s="18" t="s">
        <v>320</v>
      </c>
      <c r="B10" s="18" t="s">
        <v>348</v>
      </c>
      <c r="C10" s="18" t="s">
        <v>349</v>
      </c>
      <c r="D10" s="19">
        <v>16</v>
      </c>
      <c r="E10" s="28">
        <v>0.2</v>
      </c>
      <c r="F10" s="28">
        <v>0.05</v>
      </c>
      <c r="G10" s="29">
        <v>15</v>
      </c>
      <c r="H10" s="18">
        <v>10</v>
      </c>
      <c r="I10" s="18">
        <v>0</v>
      </c>
      <c r="J10" s="18">
        <v>0</v>
      </c>
      <c r="K10" s="20">
        <f t="shared" si="0"/>
        <v>0.26</v>
      </c>
      <c r="L10" s="30">
        <f t="shared" si="1"/>
        <v>1</v>
      </c>
      <c r="M10" s="31" t="s">
        <v>392</v>
      </c>
    </row>
    <row r="11" spans="1:13" s="21" customFormat="1" ht="28.5">
      <c r="A11" s="18" t="s">
        <v>321</v>
      </c>
      <c r="B11" s="18" t="s">
        <v>351</v>
      </c>
      <c r="C11" s="18" t="s">
        <v>349</v>
      </c>
      <c r="D11" s="19">
        <v>6</v>
      </c>
      <c r="E11" s="28">
        <v>1.2</v>
      </c>
      <c r="F11" s="28">
        <v>0.35</v>
      </c>
      <c r="G11" s="29">
        <v>42</v>
      </c>
      <c r="H11" s="18">
        <v>10</v>
      </c>
      <c r="I11" s="18">
        <v>3</v>
      </c>
      <c r="J11" s="18">
        <v>3</v>
      </c>
      <c r="K11" s="20">
        <f t="shared" si="0"/>
        <v>0.48600000000000004</v>
      </c>
      <c r="L11" s="30">
        <f t="shared" si="1"/>
        <v>3</v>
      </c>
      <c r="M11" s="31" t="s">
        <v>393</v>
      </c>
    </row>
    <row r="12" spans="1:13" s="21" customFormat="1" ht="28.5">
      <c r="A12" s="18" t="s">
        <v>322</v>
      </c>
      <c r="B12" s="18" t="s">
        <v>351</v>
      </c>
      <c r="C12" s="18" t="s">
        <v>349</v>
      </c>
      <c r="D12" s="19">
        <v>81</v>
      </c>
      <c r="E12" s="28">
        <v>0.3</v>
      </c>
      <c r="F12" s="28">
        <v>0.15</v>
      </c>
      <c r="G12" s="29">
        <v>28</v>
      </c>
      <c r="H12" s="18">
        <v>10</v>
      </c>
      <c r="I12" s="18">
        <v>1</v>
      </c>
      <c r="J12" s="18">
        <v>1</v>
      </c>
      <c r="K12" s="20">
        <f t="shared" si="0"/>
        <v>0.32</v>
      </c>
      <c r="L12" s="30">
        <f t="shared" si="1"/>
        <v>1</v>
      </c>
      <c r="M12" s="31" t="s">
        <v>394</v>
      </c>
    </row>
    <row r="13" spans="1:13" s="21" customFormat="1" ht="28.5">
      <c r="A13" s="18" t="s">
        <v>323</v>
      </c>
      <c r="B13" s="18" t="s">
        <v>351</v>
      </c>
      <c r="C13" s="18" t="s">
        <v>349</v>
      </c>
      <c r="D13" s="19">
        <v>28</v>
      </c>
      <c r="E13" s="28">
        <v>0.3</v>
      </c>
      <c r="F13" s="28">
        <v>0.15</v>
      </c>
      <c r="G13" s="29">
        <v>28</v>
      </c>
      <c r="H13" s="18">
        <v>10</v>
      </c>
      <c r="I13" s="18">
        <v>1</v>
      </c>
      <c r="J13" s="18">
        <v>1</v>
      </c>
      <c r="K13" s="20">
        <f t="shared" si="0"/>
        <v>0.32</v>
      </c>
      <c r="L13" s="30">
        <f t="shared" si="1"/>
        <v>1</v>
      </c>
      <c r="M13" s="31" t="s">
        <v>395</v>
      </c>
    </row>
    <row r="14" spans="1:13" ht="15">
      <c r="A14" s="3" t="s">
        <v>117</v>
      </c>
      <c r="B14" s="3" t="s">
        <v>20</v>
      </c>
      <c r="C14" s="3" t="s">
        <v>118</v>
      </c>
      <c r="D14" s="3" t="s">
        <v>67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ht="85.5">
      <c r="A15" s="2" t="s">
        <v>119</v>
      </c>
      <c r="B15" s="11">
        <f>AVERAGE(K4:K13)</f>
        <v>0.34339999999999998</v>
      </c>
      <c r="C15" s="2" t="str">
        <f>IF(B15&gt;=0.7,"высокое",IF(B15&gt;=0.4,"среднее","низкое"))</f>
        <v>низкое</v>
      </c>
      <c r="D15" s="2" t="s">
        <v>470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ht="28.5">
      <c r="A16" s="2" t="s">
        <v>120</v>
      </c>
      <c r="B16" s="11">
        <f>COUNTIF(L4:L13,5)/COUNT(L4:L13)</f>
        <v>0</v>
      </c>
      <c r="C16" s="2" t="str">
        <f>IF(B16&gt;=0.5,"высокая доля",IF(B16&gt;=0.25,"средняя доля","низкая доля"))</f>
        <v>низкая доля</v>
      </c>
      <c r="D16" s="2" t="s">
        <v>471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ht="85.5">
      <c r="A17" s="2" t="s">
        <v>121</v>
      </c>
      <c r="B17" s="2"/>
      <c r="C17" s="2"/>
      <c r="D17" s="2" t="s">
        <v>472</v>
      </c>
      <c r="E17" s="2"/>
      <c r="F17" s="2"/>
      <c r="G17" s="2"/>
      <c r="H17" s="2"/>
      <c r="I17" s="2"/>
      <c r="J17" s="2"/>
      <c r="K17" s="2"/>
      <c r="L17" s="2"/>
      <c r="M17" s="2"/>
    </row>
  </sheetData>
  <mergeCells count="2">
    <mergeCell ref="A1:M1"/>
    <mergeCell ref="A2:M2"/>
  </mergeCells>
  <conditionalFormatting sqref="L4:L13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1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zoomScale="70" zoomScaleNormal="70" workbookViewId="0">
      <selection activeCell="E32" sqref="E32"/>
    </sheetView>
  </sheetViews>
  <sheetFormatPr defaultRowHeight="14.25"/>
  <cols>
    <col min="1" max="1" width="38.125" customWidth="1"/>
    <col min="2" max="2" width="18.625" customWidth="1"/>
    <col min="3" max="3" width="15.625" customWidth="1"/>
    <col min="4" max="4" width="55.625" customWidth="1"/>
    <col min="5" max="5" width="16.625" customWidth="1"/>
    <col min="6" max="6" width="19.625" customWidth="1"/>
    <col min="7" max="7" width="18.625" customWidth="1"/>
    <col min="8" max="8" width="15.625" customWidth="1"/>
    <col min="9" max="9" width="14.625" customWidth="1"/>
    <col min="10" max="10" width="15.625" customWidth="1"/>
    <col min="11" max="11" width="20.625" customWidth="1"/>
    <col min="12" max="12" width="18.625" customWidth="1"/>
    <col min="13" max="13" width="20.625" customWidth="1"/>
    <col min="14" max="14" width="83.875" customWidth="1"/>
  </cols>
  <sheetData>
    <row r="1" spans="1:14" ht="18">
      <c r="A1" s="36" t="s">
        <v>122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" customHeight="1">
      <c r="A2" s="37" t="s">
        <v>123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30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135</v>
      </c>
      <c r="M3" s="3" t="s">
        <v>83</v>
      </c>
      <c r="N3" s="3" t="s">
        <v>23</v>
      </c>
    </row>
    <row r="4" spans="1:14" ht="28.5">
      <c r="A4" s="22" t="s">
        <v>295</v>
      </c>
      <c r="B4" s="35"/>
      <c r="C4" s="23"/>
      <c r="D4" s="22"/>
      <c r="E4" s="22"/>
      <c r="F4" s="22"/>
      <c r="G4" s="22"/>
      <c r="H4" s="22"/>
      <c r="I4" s="22"/>
      <c r="J4" s="22">
        <v>0</v>
      </c>
      <c r="K4" s="22">
        <v>15.8</v>
      </c>
      <c r="L4" s="26">
        <f t="shared" ref="L4:L22" si="0">MIN(1,AVERAGE(IFERROR(AVERAGE(B4,D4,F4,H4)/5,0),MIN((C4+E4+G4+I4)/300,1),MIN(J4/30,1),MIN(K4/10,1)))</f>
        <v>0.25</v>
      </c>
      <c r="M4" s="33">
        <f t="shared" ref="M4:M22" si="1">IF(L4&gt;=0.7,5,IF(L4&gt;=0.4,3,1))</f>
        <v>1</v>
      </c>
      <c r="N4" s="34" t="s">
        <v>519</v>
      </c>
    </row>
    <row r="5" spans="1:14" ht="42.75">
      <c r="A5" s="22" t="s">
        <v>296</v>
      </c>
      <c r="B5" s="35"/>
      <c r="C5" s="23"/>
      <c r="D5" s="22"/>
      <c r="E5" s="22"/>
      <c r="F5" s="22"/>
      <c r="G5" s="22"/>
      <c r="H5" s="22"/>
      <c r="I5" s="22"/>
      <c r="J5" s="22">
        <v>0</v>
      </c>
      <c r="K5" s="22">
        <v>11.9</v>
      </c>
      <c r="L5" s="26">
        <f t="shared" si="0"/>
        <v>0.25</v>
      </c>
      <c r="M5" s="33">
        <f t="shared" si="1"/>
        <v>1</v>
      </c>
      <c r="N5" s="34" t="s">
        <v>520</v>
      </c>
    </row>
    <row r="6" spans="1:14" ht="28.5">
      <c r="A6" s="22" t="s">
        <v>297</v>
      </c>
      <c r="B6" s="35">
        <v>4.8</v>
      </c>
      <c r="C6" s="23">
        <v>16</v>
      </c>
      <c r="D6" s="22"/>
      <c r="E6" s="22"/>
      <c r="F6" s="22">
        <v>3.5</v>
      </c>
      <c r="G6" s="22">
        <v>3</v>
      </c>
      <c r="H6" s="22"/>
      <c r="I6" s="22"/>
      <c r="J6" s="22">
        <v>2</v>
      </c>
      <c r="K6" s="22">
        <v>4.3</v>
      </c>
      <c r="L6" s="26">
        <f t="shared" si="0"/>
        <v>0.34750000000000003</v>
      </c>
      <c r="M6" s="33">
        <f t="shared" si="1"/>
        <v>1</v>
      </c>
      <c r="N6" s="34" t="s">
        <v>521</v>
      </c>
    </row>
    <row r="7" spans="1:14" ht="28.5">
      <c r="A7" s="22" t="s">
        <v>298</v>
      </c>
      <c r="B7" s="35"/>
      <c r="C7" s="23"/>
      <c r="D7" s="22"/>
      <c r="E7" s="22"/>
      <c r="F7" s="22"/>
      <c r="G7" s="22"/>
      <c r="H7" s="22"/>
      <c r="I7" s="22"/>
      <c r="J7" s="22">
        <v>1</v>
      </c>
      <c r="K7" s="22">
        <v>3.9</v>
      </c>
      <c r="L7" s="26">
        <f t="shared" si="0"/>
        <v>0.10583333333333333</v>
      </c>
      <c r="M7" s="33">
        <f t="shared" si="1"/>
        <v>1</v>
      </c>
      <c r="N7" s="34" t="s">
        <v>522</v>
      </c>
    </row>
    <row r="8" spans="1:14" ht="28.5">
      <c r="A8" s="22" t="s">
        <v>299</v>
      </c>
      <c r="B8" s="35"/>
      <c r="C8" s="23"/>
      <c r="D8" s="22"/>
      <c r="E8" s="22"/>
      <c r="F8" s="22"/>
      <c r="G8" s="22"/>
      <c r="H8" s="22"/>
      <c r="I8" s="22"/>
      <c r="J8" s="22">
        <v>0</v>
      </c>
      <c r="K8" s="22">
        <v>7.7</v>
      </c>
      <c r="L8" s="26">
        <f t="shared" si="0"/>
        <v>0.1925</v>
      </c>
      <c r="M8" s="33">
        <f t="shared" si="1"/>
        <v>1</v>
      </c>
      <c r="N8" s="34" t="s">
        <v>523</v>
      </c>
    </row>
    <row r="9" spans="1:14" ht="28.5">
      <c r="A9" s="22" t="s">
        <v>300</v>
      </c>
      <c r="B9" s="35"/>
      <c r="C9" s="23"/>
      <c r="D9" s="22"/>
      <c r="E9" s="22"/>
      <c r="F9" s="22"/>
      <c r="G9" s="22"/>
      <c r="H9" s="22"/>
      <c r="I9" s="22"/>
      <c r="J9" s="22">
        <v>0</v>
      </c>
      <c r="K9" s="22">
        <v>12.8</v>
      </c>
      <c r="L9" s="26">
        <f t="shared" si="0"/>
        <v>0.25</v>
      </c>
      <c r="M9" s="33">
        <f t="shared" si="1"/>
        <v>1</v>
      </c>
      <c r="N9" s="34" t="s">
        <v>524</v>
      </c>
    </row>
    <row r="10" spans="1:14" ht="28.5">
      <c r="A10" s="22" t="s">
        <v>301</v>
      </c>
      <c r="B10" s="35"/>
      <c r="C10" s="23"/>
      <c r="D10" s="22"/>
      <c r="E10" s="22"/>
      <c r="F10" s="22"/>
      <c r="G10" s="22"/>
      <c r="H10" s="22"/>
      <c r="I10" s="22"/>
      <c r="J10" s="22">
        <v>3</v>
      </c>
      <c r="K10" s="22">
        <v>13.2</v>
      </c>
      <c r="L10" s="26">
        <f t="shared" si="0"/>
        <v>0.27500000000000002</v>
      </c>
      <c r="M10" s="33">
        <f t="shared" si="1"/>
        <v>1</v>
      </c>
      <c r="N10" s="34" t="s">
        <v>525</v>
      </c>
    </row>
    <row r="11" spans="1:14" ht="28.5">
      <c r="A11" s="22" t="s">
        <v>302</v>
      </c>
      <c r="B11" s="35"/>
      <c r="C11" s="23"/>
      <c r="D11" s="22"/>
      <c r="E11" s="22"/>
      <c r="F11" s="22">
        <v>3.5</v>
      </c>
      <c r="G11" s="22">
        <v>2</v>
      </c>
      <c r="H11" s="22"/>
      <c r="I11" s="22"/>
      <c r="J11" s="22">
        <v>5</v>
      </c>
      <c r="K11" s="22">
        <v>25.3</v>
      </c>
      <c r="L11" s="26">
        <f t="shared" si="0"/>
        <v>0.46833333333333332</v>
      </c>
      <c r="M11" s="33">
        <f t="shared" si="1"/>
        <v>3</v>
      </c>
      <c r="N11" s="34" t="s">
        <v>526</v>
      </c>
    </row>
    <row r="12" spans="1:14" ht="42.75">
      <c r="A12" s="22" t="s">
        <v>303</v>
      </c>
      <c r="B12" s="35"/>
      <c r="C12" s="23"/>
      <c r="D12" s="22"/>
      <c r="E12" s="22"/>
      <c r="F12" s="22"/>
      <c r="G12" s="22">
        <v>0</v>
      </c>
      <c r="H12" s="22"/>
      <c r="I12" s="22"/>
      <c r="J12" s="22">
        <v>3</v>
      </c>
      <c r="K12" s="22">
        <v>24.2</v>
      </c>
      <c r="L12" s="26">
        <f t="shared" si="0"/>
        <v>0.27500000000000002</v>
      </c>
      <c r="M12" s="33">
        <f t="shared" si="1"/>
        <v>1</v>
      </c>
      <c r="N12" s="34" t="s">
        <v>527</v>
      </c>
    </row>
    <row r="13" spans="1:14" ht="28.5">
      <c r="A13" s="22" t="s">
        <v>304</v>
      </c>
      <c r="B13" s="35"/>
      <c r="C13" s="23"/>
      <c r="D13" s="22"/>
      <c r="E13" s="22"/>
      <c r="F13" s="22"/>
      <c r="G13" s="22"/>
      <c r="H13" s="22"/>
      <c r="I13" s="22"/>
      <c r="J13" s="22">
        <v>2</v>
      </c>
      <c r="K13" s="22">
        <v>12.7</v>
      </c>
      <c r="L13" s="26">
        <f t="shared" si="0"/>
        <v>0.26666666666666666</v>
      </c>
      <c r="M13" s="33">
        <f t="shared" si="1"/>
        <v>1</v>
      </c>
      <c r="N13" s="34" t="s">
        <v>528</v>
      </c>
    </row>
    <row r="14" spans="1:14" ht="28.5">
      <c r="A14" s="22" t="s">
        <v>305</v>
      </c>
      <c r="B14" s="35"/>
      <c r="C14" s="23"/>
      <c r="D14" s="22"/>
      <c r="E14" s="22"/>
      <c r="F14" s="22"/>
      <c r="G14" s="22"/>
      <c r="H14" s="22"/>
      <c r="I14" s="22"/>
      <c r="J14" s="22">
        <v>3</v>
      </c>
      <c r="K14" s="22">
        <v>4.5</v>
      </c>
      <c r="L14" s="26">
        <f t="shared" si="0"/>
        <v>0.13750000000000001</v>
      </c>
      <c r="M14" s="33">
        <f t="shared" si="1"/>
        <v>1</v>
      </c>
      <c r="N14" s="34" t="s">
        <v>529</v>
      </c>
    </row>
    <row r="15" spans="1:14" ht="28.5">
      <c r="A15" s="22" t="s">
        <v>306</v>
      </c>
      <c r="B15" s="35">
        <v>4.4000000000000004</v>
      </c>
      <c r="C15" s="23">
        <v>450</v>
      </c>
      <c r="D15" s="22"/>
      <c r="E15" s="22"/>
      <c r="F15" s="22">
        <v>3.8</v>
      </c>
      <c r="G15" s="22">
        <v>2</v>
      </c>
      <c r="H15" s="22"/>
      <c r="I15" s="22"/>
      <c r="J15" s="22">
        <v>0</v>
      </c>
      <c r="K15" s="22">
        <v>16.5</v>
      </c>
      <c r="L15" s="26">
        <f t="shared" si="0"/>
        <v>0.70499999999999996</v>
      </c>
      <c r="M15" s="33">
        <f t="shared" si="1"/>
        <v>5</v>
      </c>
      <c r="N15" s="34" t="s">
        <v>530</v>
      </c>
    </row>
    <row r="16" spans="1:14" ht="28.5">
      <c r="A16" s="22" t="s">
        <v>307</v>
      </c>
      <c r="B16" s="35">
        <v>4.5</v>
      </c>
      <c r="C16" s="23">
        <v>8988</v>
      </c>
      <c r="D16" s="22"/>
      <c r="E16" s="22"/>
      <c r="F16" s="22">
        <v>1.5</v>
      </c>
      <c r="G16" s="22">
        <v>116</v>
      </c>
      <c r="H16" s="22"/>
      <c r="I16" s="22"/>
      <c r="J16" s="22">
        <v>15</v>
      </c>
      <c r="K16" s="22">
        <v>18</v>
      </c>
      <c r="L16" s="26">
        <f t="shared" si="0"/>
        <v>0.77500000000000002</v>
      </c>
      <c r="M16" s="33">
        <f t="shared" si="1"/>
        <v>5</v>
      </c>
      <c r="N16" s="34" t="s">
        <v>531</v>
      </c>
    </row>
    <row r="17" spans="1:14" ht="28.5">
      <c r="A17" s="22" t="s">
        <v>308</v>
      </c>
      <c r="B17" s="35">
        <v>4.4000000000000004</v>
      </c>
      <c r="C17" s="23">
        <v>1394</v>
      </c>
      <c r="D17" s="22"/>
      <c r="E17" s="22"/>
      <c r="F17" s="22">
        <v>1.9</v>
      </c>
      <c r="G17" s="22">
        <v>58</v>
      </c>
      <c r="H17" s="22"/>
      <c r="I17" s="22"/>
      <c r="J17" s="22">
        <v>8</v>
      </c>
      <c r="K17" s="22">
        <v>18.2</v>
      </c>
      <c r="L17" s="26">
        <f t="shared" si="0"/>
        <v>0.72416666666666663</v>
      </c>
      <c r="M17" s="33">
        <f t="shared" si="1"/>
        <v>5</v>
      </c>
      <c r="N17" s="34" t="s">
        <v>532</v>
      </c>
    </row>
    <row r="18" spans="1:14" ht="28.5">
      <c r="A18" s="22" t="s">
        <v>309</v>
      </c>
      <c r="B18" s="35">
        <v>4.5999999999999996</v>
      </c>
      <c r="C18" s="23">
        <v>13583</v>
      </c>
      <c r="D18" s="22"/>
      <c r="E18" s="22"/>
      <c r="F18" s="22">
        <v>2.1</v>
      </c>
      <c r="G18" s="22">
        <v>155</v>
      </c>
      <c r="H18" s="22"/>
      <c r="I18" s="22"/>
      <c r="J18" s="22">
        <v>25</v>
      </c>
      <c r="K18" s="22">
        <v>31.1</v>
      </c>
      <c r="L18" s="26">
        <f t="shared" si="0"/>
        <v>0.87583333333333335</v>
      </c>
      <c r="M18" s="33">
        <f t="shared" si="1"/>
        <v>5</v>
      </c>
      <c r="N18" s="34" t="s">
        <v>533</v>
      </c>
    </row>
    <row r="19" spans="1:14" ht="28.5">
      <c r="A19" s="22" t="s">
        <v>310</v>
      </c>
      <c r="B19" s="35"/>
      <c r="C19" s="23"/>
      <c r="D19" s="22"/>
      <c r="E19" s="22"/>
      <c r="F19" s="22"/>
      <c r="G19" s="22"/>
      <c r="H19" s="22"/>
      <c r="I19" s="22"/>
      <c r="J19" s="22">
        <v>0</v>
      </c>
      <c r="K19" s="22">
        <v>6.7</v>
      </c>
      <c r="L19" s="26">
        <f t="shared" si="0"/>
        <v>0.16750000000000001</v>
      </c>
      <c r="M19" s="33">
        <f t="shared" si="1"/>
        <v>1</v>
      </c>
      <c r="N19" s="34" t="s">
        <v>534</v>
      </c>
    </row>
    <row r="20" spans="1:14" ht="28.5">
      <c r="A20" s="22" t="s">
        <v>311</v>
      </c>
      <c r="B20" s="35"/>
      <c r="C20" s="23"/>
      <c r="D20" s="22"/>
      <c r="E20" s="22"/>
      <c r="F20" s="22"/>
      <c r="G20" s="22"/>
      <c r="H20" s="22"/>
      <c r="I20" s="22"/>
      <c r="J20" s="22">
        <v>2</v>
      </c>
      <c r="K20" s="22">
        <v>8.1</v>
      </c>
      <c r="L20" s="26">
        <f t="shared" si="0"/>
        <v>0.21916666666666665</v>
      </c>
      <c r="M20" s="33">
        <f t="shared" si="1"/>
        <v>1</v>
      </c>
      <c r="N20" s="34" t="s">
        <v>535</v>
      </c>
    </row>
    <row r="21" spans="1:14" ht="28.5">
      <c r="A21" s="22" t="s">
        <v>312</v>
      </c>
      <c r="B21" s="35"/>
      <c r="C21" s="23"/>
      <c r="D21" s="22"/>
      <c r="E21" s="22"/>
      <c r="F21" s="22"/>
      <c r="G21" s="22"/>
      <c r="H21" s="22"/>
      <c r="I21" s="22"/>
      <c r="J21" s="22">
        <v>1</v>
      </c>
      <c r="K21" s="22">
        <v>8.4</v>
      </c>
      <c r="L21" s="26">
        <f t="shared" si="0"/>
        <v>0.21833333333333335</v>
      </c>
      <c r="M21" s="33">
        <f t="shared" si="1"/>
        <v>1</v>
      </c>
      <c r="N21" s="34" t="s">
        <v>536</v>
      </c>
    </row>
    <row r="22" spans="1:14" ht="28.5">
      <c r="A22" s="22" t="s">
        <v>313</v>
      </c>
      <c r="B22" s="35"/>
      <c r="C22" s="23"/>
      <c r="D22" s="22"/>
      <c r="E22" s="22"/>
      <c r="F22" s="22"/>
      <c r="G22" s="22"/>
      <c r="H22" s="22"/>
      <c r="I22" s="22"/>
      <c r="J22" s="22">
        <v>3</v>
      </c>
      <c r="K22" s="22">
        <v>12</v>
      </c>
      <c r="L22" s="26">
        <f t="shared" si="0"/>
        <v>0.27500000000000002</v>
      </c>
      <c r="M22" s="33">
        <f t="shared" si="1"/>
        <v>1</v>
      </c>
      <c r="N22" s="34" t="s">
        <v>537</v>
      </c>
    </row>
    <row r="23" spans="1:14" ht="15">
      <c r="A23" s="3" t="s">
        <v>117</v>
      </c>
      <c r="B23" s="3" t="s">
        <v>20</v>
      </c>
      <c r="C23" s="3" t="s">
        <v>118</v>
      </c>
      <c r="D23" s="3" t="s">
        <v>67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 t="s">
        <v>136</v>
      </c>
      <c r="B24" s="11">
        <f>AVERAGE(L4:L22)</f>
        <v>0.35675438596491238</v>
      </c>
      <c r="C24" s="2" t="str">
        <f>IF(B24&gt;=0.7,"высокий",IF(B24&gt;=0.4,"средний","низкий"))</f>
        <v>низкий</v>
      </c>
      <c r="D24" s="2" t="s">
        <v>473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8.5">
      <c r="A25" s="2" t="s">
        <v>137</v>
      </c>
      <c r="B25" s="7">
        <f>SUMPRODUCT(C4:C22+E4:E22+G4:G22+I4:I22)/COUNTA(A4:A22)</f>
        <v>1303.5263157894738</v>
      </c>
      <c r="C25" s="2" t="str">
        <f>IF(B25&gt;='01_Параметры'!B17,"высокий барьер",IF(B25&gt;='01_Параметры'!B17*0.5,"средний барьер","низкий барьер"))</f>
        <v>высокий барьер</v>
      </c>
      <c r="D25" s="2" t="s">
        <v>474</v>
      </c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2">
    <mergeCell ref="A1:N1"/>
    <mergeCell ref="A2:N2"/>
  </mergeCells>
  <conditionalFormatting sqref="M4:M22">
    <cfRule type="colorScale" priority="4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topLeftCell="A7" zoomScale="70" zoomScaleNormal="70" workbookViewId="0">
      <selection activeCell="D26" sqref="D26"/>
    </sheetView>
  </sheetViews>
  <sheetFormatPr defaultRowHeight="14.25"/>
  <cols>
    <col min="1" max="1" width="29" customWidth="1"/>
    <col min="2" max="2" width="19.5" customWidth="1"/>
    <col min="3" max="3" width="27.625" customWidth="1"/>
    <col min="4" max="4" width="29.375" customWidth="1"/>
    <col min="5" max="5" width="23.625" customWidth="1"/>
    <col min="6" max="6" width="21.625" customWidth="1"/>
    <col min="7" max="7" width="15.625" customWidth="1"/>
    <col min="8" max="8" width="17" customWidth="1"/>
    <col min="9" max="9" width="12" customWidth="1"/>
    <col min="10" max="10" width="27.625" customWidth="1"/>
    <col min="11" max="11" width="23.625" customWidth="1"/>
    <col min="12" max="12" width="20.625" customWidth="1"/>
    <col min="13" max="13" width="96.5" customWidth="1"/>
  </cols>
  <sheetData>
    <row r="1" spans="1:13" ht="18">
      <c r="A1" s="36" t="s">
        <v>138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" customHeight="1">
      <c r="A2" s="37" t="s">
        <v>139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30">
      <c r="A3" s="3" t="s">
        <v>124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83</v>
      </c>
      <c r="M3" s="3" t="s">
        <v>23</v>
      </c>
    </row>
    <row r="4" spans="1:13" ht="42.75">
      <c r="A4" s="22" t="s">
        <v>295</v>
      </c>
      <c r="B4" s="23">
        <v>0</v>
      </c>
      <c r="C4" s="32">
        <v>1</v>
      </c>
      <c r="D4" s="32">
        <v>2</v>
      </c>
      <c r="E4" s="32">
        <v>0</v>
      </c>
      <c r="F4" s="22" t="s">
        <v>370</v>
      </c>
      <c r="G4" s="22" t="s">
        <v>370</v>
      </c>
      <c r="H4" s="22">
        <v>0</v>
      </c>
      <c r="I4" s="22">
        <v>0</v>
      </c>
      <c r="J4" s="22">
        <v>1</v>
      </c>
      <c r="K4" s="26">
        <f t="shared" ref="K4:K22" si="0">MIN(1,AVERAGE(MIN(B4/500000,1),MIN(C4/60,1),D4/5,E4/5,IF(F4="да",1,0),IF(G4="да",1,0),MIN(H4/50,1),MIN(I4/6,1),IF(J4&gt;0,1,0)))</f>
        <v>0.15740740740740741</v>
      </c>
      <c r="L4" s="33">
        <f t="shared" ref="L4:L22" si="1">IF(K4&gt;=0.7,5,IF(K4&gt;=0.4,3,1))</f>
        <v>1</v>
      </c>
      <c r="M4" s="34" t="s">
        <v>538</v>
      </c>
    </row>
    <row r="5" spans="1:13" ht="42.75">
      <c r="A5" s="22" t="s">
        <v>296</v>
      </c>
      <c r="B5" s="23">
        <v>0</v>
      </c>
      <c r="C5" s="32">
        <v>5</v>
      </c>
      <c r="D5" s="32">
        <v>3</v>
      </c>
      <c r="E5" s="32">
        <v>0</v>
      </c>
      <c r="F5" s="22" t="s">
        <v>370</v>
      </c>
      <c r="G5" s="22" t="s">
        <v>370</v>
      </c>
      <c r="H5" s="22">
        <v>0</v>
      </c>
      <c r="I5" s="22">
        <v>0</v>
      </c>
      <c r="J5" s="22">
        <v>1</v>
      </c>
      <c r="K5" s="26">
        <f t="shared" si="0"/>
        <v>0.18703703703703703</v>
      </c>
      <c r="L5" s="33">
        <f t="shared" si="1"/>
        <v>1</v>
      </c>
      <c r="M5" s="34" t="s">
        <v>539</v>
      </c>
    </row>
    <row r="6" spans="1:13" ht="42.75">
      <c r="A6" s="22" t="s">
        <v>297</v>
      </c>
      <c r="B6" s="23">
        <v>0</v>
      </c>
      <c r="C6" s="32">
        <v>10</v>
      </c>
      <c r="D6" s="32">
        <v>3</v>
      </c>
      <c r="E6" s="32">
        <v>1</v>
      </c>
      <c r="F6" s="22" t="s">
        <v>370</v>
      </c>
      <c r="G6" s="22" t="s">
        <v>371</v>
      </c>
      <c r="H6" s="22">
        <v>3</v>
      </c>
      <c r="I6" s="22">
        <v>1</v>
      </c>
      <c r="J6" s="22">
        <v>1</v>
      </c>
      <c r="K6" s="26">
        <f t="shared" si="0"/>
        <v>0.35481481481481475</v>
      </c>
      <c r="L6" s="33">
        <f t="shared" si="1"/>
        <v>1</v>
      </c>
      <c r="M6" s="34" t="s">
        <v>372</v>
      </c>
    </row>
    <row r="7" spans="1:13" ht="42.75">
      <c r="A7" s="22" t="s">
        <v>298</v>
      </c>
      <c r="B7" s="23">
        <v>0</v>
      </c>
      <c r="C7" s="32">
        <v>5</v>
      </c>
      <c r="D7" s="32">
        <v>3</v>
      </c>
      <c r="E7" s="32">
        <v>0</v>
      </c>
      <c r="F7" s="22" t="s">
        <v>370</v>
      </c>
      <c r="G7" s="22" t="s">
        <v>370</v>
      </c>
      <c r="H7" s="22">
        <v>0</v>
      </c>
      <c r="I7" s="22">
        <v>0</v>
      </c>
      <c r="J7" s="22">
        <v>1</v>
      </c>
      <c r="K7" s="26">
        <f t="shared" si="0"/>
        <v>0.18703703703703703</v>
      </c>
      <c r="L7" s="33">
        <f t="shared" si="1"/>
        <v>1</v>
      </c>
      <c r="M7" s="34" t="s">
        <v>373</v>
      </c>
    </row>
    <row r="8" spans="1:13" ht="28.5">
      <c r="A8" s="22" t="s">
        <v>299</v>
      </c>
      <c r="B8" s="23">
        <v>0</v>
      </c>
      <c r="C8" s="32">
        <v>2</v>
      </c>
      <c r="D8" s="32">
        <v>2</v>
      </c>
      <c r="E8" s="32">
        <v>0</v>
      </c>
      <c r="F8" s="22" t="s">
        <v>370</v>
      </c>
      <c r="G8" s="22" t="s">
        <v>370</v>
      </c>
      <c r="H8" s="22">
        <v>0</v>
      </c>
      <c r="I8" s="22">
        <v>0</v>
      </c>
      <c r="J8" s="22">
        <v>1</v>
      </c>
      <c r="K8" s="26">
        <f t="shared" si="0"/>
        <v>0.15925925925925927</v>
      </c>
      <c r="L8" s="33">
        <f t="shared" si="1"/>
        <v>1</v>
      </c>
      <c r="M8" s="34" t="s">
        <v>374</v>
      </c>
    </row>
    <row r="9" spans="1:13" ht="28.5">
      <c r="A9" s="22" t="s">
        <v>300</v>
      </c>
      <c r="B9" s="23">
        <v>0</v>
      </c>
      <c r="C9" s="32">
        <v>2</v>
      </c>
      <c r="D9" s="32">
        <v>2</v>
      </c>
      <c r="E9" s="32">
        <v>0</v>
      </c>
      <c r="F9" s="22" t="s">
        <v>370</v>
      </c>
      <c r="G9" s="22" t="s">
        <v>370</v>
      </c>
      <c r="H9" s="22">
        <v>0</v>
      </c>
      <c r="I9" s="22">
        <v>0</v>
      </c>
      <c r="J9" s="22">
        <v>0</v>
      </c>
      <c r="K9" s="26">
        <f t="shared" si="0"/>
        <v>4.8148148148148148E-2</v>
      </c>
      <c r="L9" s="33">
        <f t="shared" si="1"/>
        <v>1</v>
      </c>
      <c r="M9" s="34" t="s">
        <v>375</v>
      </c>
    </row>
    <row r="10" spans="1:13" ht="28.5">
      <c r="A10" s="22" t="s">
        <v>301</v>
      </c>
      <c r="B10" s="23">
        <v>0</v>
      </c>
      <c r="C10" s="32">
        <v>5</v>
      </c>
      <c r="D10" s="32">
        <v>3</v>
      </c>
      <c r="E10" s="32">
        <v>1</v>
      </c>
      <c r="F10" s="22" t="s">
        <v>370</v>
      </c>
      <c r="G10" s="22" t="s">
        <v>370</v>
      </c>
      <c r="H10" s="22">
        <v>2</v>
      </c>
      <c r="I10" s="22">
        <v>0</v>
      </c>
      <c r="J10" s="22">
        <v>1</v>
      </c>
      <c r="K10" s="26">
        <f t="shared" si="0"/>
        <v>0.2137037037037037</v>
      </c>
      <c r="L10" s="33">
        <f t="shared" si="1"/>
        <v>1</v>
      </c>
      <c r="M10" s="34" t="s">
        <v>376</v>
      </c>
    </row>
    <row r="11" spans="1:13" ht="57">
      <c r="A11" s="22" t="s">
        <v>302</v>
      </c>
      <c r="B11" s="23">
        <v>0</v>
      </c>
      <c r="C11" s="32">
        <v>100</v>
      </c>
      <c r="D11" s="32">
        <v>4</v>
      </c>
      <c r="E11" s="32">
        <v>3</v>
      </c>
      <c r="F11" s="22" t="s">
        <v>371</v>
      </c>
      <c r="G11" s="22" t="s">
        <v>371</v>
      </c>
      <c r="H11" s="22">
        <v>5</v>
      </c>
      <c r="I11" s="22">
        <v>3</v>
      </c>
      <c r="J11" s="22">
        <v>0</v>
      </c>
      <c r="K11" s="26">
        <f t="shared" si="0"/>
        <v>0.55555555555555558</v>
      </c>
      <c r="L11" s="33">
        <f t="shared" si="1"/>
        <v>3</v>
      </c>
      <c r="M11" s="34" t="s">
        <v>377</v>
      </c>
    </row>
    <row r="12" spans="1:13" ht="42.75">
      <c r="A12" s="22" t="s">
        <v>303</v>
      </c>
      <c r="B12" s="23">
        <v>0</v>
      </c>
      <c r="C12" s="32">
        <v>50</v>
      </c>
      <c r="D12" s="32">
        <v>3</v>
      </c>
      <c r="E12" s="32">
        <v>2</v>
      </c>
      <c r="F12" s="22" t="s">
        <v>370</v>
      </c>
      <c r="G12" s="22" t="s">
        <v>370</v>
      </c>
      <c r="H12" s="22">
        <v>3</v>
      </c>
      <c r="I12" s="22">
        <v>2</v>
      </c>
      <c r="J12" s="22">
        <v>0</v>
      </c>
      <c r="K12" s="26">
        <f t="shared" si="0"/>
        <v>0.24740740740740744</v>
      </c>
      <c r="L12" s="33">
        <f t="shared" si="1"/>
        <v>1</v>
      </c>
      <c r="M12" s="34" t="s">
        <v>378</v>
      </c>
    </row>
    <row r="13" spans="1:13" ht="42.75">
      <c r="A13" s="22" t="s">
        <v>304</v>
      </c>
      <c r="B13" s="23">
        <v>0</v>
      </c>
      <c r="C13" s="32">
        <v>10</v>
      </c>
      <c r="D13" s="32">
        <v>3</v>
      </c>
      <c r="E13" s="32">
        <v>0</v>
      </c>
      <c r="F13" s="22" t="s">
        <v>370</v>
      </c>
      <c r="G13" s="22" t="s">
        <v>370</v>
      </c>
      <c r="H13" s="22">
        <v>0</v>
      </c>
      <c r="I13" s="22">
        <v>0</v>
      </c>
      <c r="J13" s="22">
        <v>1</v>
      </c>
      <c r="K13" s="26">
        <f t="shared" si="0"/>
        <v>0.1962962962962963</v>
      </c>
      <c r="L13" s="33">
        <f t="shared" si="1"/>
        <v>1</v>
      </c>
      <c r="M13" s="34" t="s">
        <v>540</v>
      </c>
    </row>
    <row r="14" spans="1:13" ht="42.75">
      <c r="A14" s="22" t="s">
        <v>305</v>
      </c>
      <c r="B14" s="23">
        <v>0</v>
      </c>
      <c r="C14" s="32">
        <v>20</v>
      </c>
      <c r="D14" s="32">
        <v>3</v>
      </c>
      <c r="E14" s="32">
        <v>2</v>
      </c>
      <c r="F14" s="22" t="s">
        <v>370</v>
      </c>
      <c r="G14" s="22" t="s">
        <v>371</v>
      </c>
      <c r="H14" s="22">
        <v>3</v>
      </c>
      <c r="I14" s="22">
        <v>1</v>
      </c>
      <c r="J14" s="22">
        <v>0</v>
      </c>
      <c r="K14" s="26">
        <f t="shared" si="0"/>
        <v>0.28444444444444444</v>
      </c>
      <c r="L14" s="33">
        <f t="shared" si="1"/>
        <v>1</v>
      </c>
      <c r="M14" s="34" t="s">
        <v>379</v>
      </c>
    </row>
    <row r="15" spans="1:13" ht="42.75">
      <c r="A15" s="22" t="s">
        <v>306</v>
      </c>
      <c r="B15" s="23">
        <v>0</v>
      </c>
      <c r="C15" s="32">
        <v>10</v>
      </c>
      <c r="D15" s="32">
        <v>3</v>
      </c>
      <c r="E15" s="32">
        <v>1</v>
      </c>
      <c r="F15" s="22" t="s">
        <v>370</v>
      </c>
      <c r="G15" s="22" t="s">
        <v>370</v>
      </c>
      <c r="H15" s="22">
        <v>2</v>
      </c>
      <c r="I15" s="22">
        <v>0</v>
      </c>
      <c r="J15" s="22">
        <v>1</v>
      </c>
      <c r="K15" s="26">
        <f t="shared" si="0"/>
        <v>0.22296296296296297</v>
      </c>
      <c r="L15" s="33">
        <f t="shared" si="1"/>
        <v>1</v>
      </c>
      <c r="M15" s="34" t="s">
        <v>380</v>
      </c>
    </row>
    <row r="16" spans="1:13" ht="57">
      <c r="A16" s="22" t="s">
        <v>307</v>
      </c>
      <c r="B16" s="23">
        <v>72000000</v>
      </c>
      <c r="C16" s="32">
        <v>700</v>
      </c>
      <c r="D16" s="32">
        <v>4</v>
      </c>
      <c r="E16" s="32">
        <v>4</v>
      </c>
      <c r="F16" s="22" t="s">
        <v>371</v>
      </c>
      <c r="G16" s="22" t="s">
        <v>371</v>
      </c>
      <c r="H16" s="22">
        <v>50</v>
      </c>
      <c r="I16" s="22">
        <v>20</v>
      </c>
      <c r="J16" s="22">
        <v>0</v>
      </c>
      <c r="K16" s="26">
        <f t="shared" si="0"/>
        <v>0.84444444444444444</v>
      </c>
      <c r="L16" s="33">
        <f t="shared" si="1"/>
        <v>5</v>
      </c>
      <c r="M16" s="34" t="s">
        <v>381</v>
      </c>
    </row>
    <row r="17" spans="1:13" ht="42.75">
      <c r="A17" s="22" t="s">
        <v>308</v>
      </c>
      <c r="B17" s="23">
        <v>3000000</v>
      </c>
      <c r="C17" s="32">
        <v>100</v>
      </c>
      <c r="D17" s="32">
        <v>4</v>
      </c>
      <c r="E17" s="32">
        <v>3</v>
      </c>
      <c r="F17" s="22" t="s">
        <v>371</v>
      </c>
      <c r="G17" s="22" t="s">
        <v>371</v>
      </c>
      <c r="H17" s="22">
        <v>10</v>
      </c>
      <c r="I17" s="22">
        <v>3</v>
      </c>
      <c r="J17" s="22">
        <v>0</v>
      </c>
      <c r="K17" s="26">
        <f t="shared" si="0"/>
        <v>0.67777777777777781</v>
      </c>
      <c r="L17" s="33">
        <f t="shared" si="1"/>
        <v>3</v>
      </c>
      <c r="M17" s="34" t="s">
        <v>382</v>
      </c>
    </row>
    <row r="18" spans="1:13" ht="57">
      <c r="A18" s="22" t="s">
        <v>309</v>
      </c>
      <c r="B18" s="23">
        <v>476000000</v>
      </c>
      <c r="C18" s="32">
        <v>2000</v>
      </c>
      <c r="D18" s="32">
        <v>5</v>
      </c>
      <c r="E18" s="32">
        <v>5</v>
      </c>
      <c r="F18" s="22" t="s">
        <v>371</v>
      </c>
      <c r="G18" s="22" t="s">
        <v>371</v>
      </c>
      <c r="H18" s="22">
        <v>50</v>
      </c>
      <c r="I18" s="22">
        <v>50</v>
      </c>
      <c r="J18" s="22">
        <v>1</v>
      </c>
      <c r="K18" s="26">
        <f t="shared" si="0"/>
        <v>1</v>
      </c>
      <c r="L18" s="33">
        <f t="shared" si="1"/>
        <v>5</v>
      </c>
      <c r="M18" s="34" t="s">
        <v>383</v>
      </c>
    </row>
    <row r="19" spans="1:13" ht="42.75">
      <c r="A19" s="22" t="s">
        <v>310</v>
      </c>
      <c r="B19" s="23">
        <v>0</v>
      </c>
      <c r="C19" s="32">
        <v>5</v>
      </c>
      <c r="D19" s="32">
        <v>3</v>
      </c>
      <c r="E19" s="32">
        <v>1</v>
      </c>
      <c r="F19" s="22" t="s">
        <v>370</v>
      </c>
      <c r="G19" s="22" t="s">
        <v>371</v>
      </c>
      <c r="H19" s="22">
        <v>0</v>
      </c>
      <c r="I19" s="22">
        <v>0</v>
      </c>
      <c r="J19" s="22">
        <v>1</v>
      </c>
      <c r="K19" s="26">
        <f t="shared" si="0"/>
        <v>0.32037037037037036</v>
      </c>
      <c r="L19" s="33">
        <f t="shared" si="1"/>
        <v>1</v>
      </c>
      <c r="M19" s="34" t="s">
        <v>384</v>
      </c>
    </row>
    <row r="20" spans="1:13" ht="42.75">
      <c r="A20" s="22" t="s">
        <v>311</v>
      </c>
      <c r="B20" s="23">
        <v>0</v>
      </c>
      <c r="C20" s="32">
        <v>30</v>
      </c>
      <c r="D20" s="32">
        <v>3</v>
      </c>
      <c r="E20" s="32">
        <v>2</v>
      </c>
      <c r="F20" s="22" t="s">
        <v>370</v>
      </c>
      <c r="G20" s="22" t="s">
        <v>371</v>
      </c>
      <c r="H20" s="22">
        <v>2</v>
      </c>
      <c r="I20" s="22">
        <v>2</v>
      </c>
      <c r="J20" s="22">
        <v>1</v>
      </c>
      <c r="K20" s="26">
        <f t="shared" si="0"/>
        <v>0.4303703703703704</v>
      </c>
      <c r="L20" s="33">
        <f t="shared" si="1"/>
        <v>3</v>
      </c>
      <c r="M20" s="34" t="s">
        <v>541</v>
      </c>
    </row>
    <row r="21" spans="1:13" ht="28.5">
      <c r="A21" s="22" t="s">
        <v>312</v>
      </c>
      <c r="B21" s="23">
        <v>0</v>
      </c>
      <c r="C21" s="32">
        <v>5</v>
      </c>
      <c r="D21" s="32">
        <v>2</v>
      </c>
      <c r="E21" s="32">
        <v>1</v>
      </c>
      <c r="F21" s="22" t="s">
        <v>370</v>
      </c>
      <c r="G21" s="22" t="s">
        <v>371</v>
      </c>
      <c r="H21" s="22">
        <v>1</v>
      </c>
      <c r="I21" s="22">
        <v>0</v>
      </c>
      <c r="J21" s="22">
        <v>0</v>
      </c>
      <c r="K21" s="26">
        <f t="shared" si="0"/>
        <v>0.18925925925925927</v>
      </c>
      <c r="L21" s="33">
        <f t="shared" si="1"/>
        <v>1</v>
      </c>
      <c r="M21" s="34" t="s">
        <v>385</v>
      </c>
    </row>
    <row r="22" spans="1:13" ht="42.75">
      <c r="A22" s="22" t="s">
        <v>313</v>
      </c>
      <c r="B22" s="23">
        <v>4000000</v>
      </c>
      <c r="C22" s="32">
        <v>15</v>
      </c>
      <c r="D22" s="32">
        <v>3</v>
      </c>
      <c r="E22" s="32">
        <v>2</v>
      </c>
      <c r="F22" s="22" t="s">
        <v>370</v>
      </c>
      <c r="G22" s="22" t="s">
        <v>371</v>
      </c>
      <c r="H22" s="22">
        <v>5</v>
      </c>
      <c r="I22" s="22">
        <v>3</v>
      </c>
      <c r="J22" s="22">
        <v>1</v>
      </c>
      <c r="K22" s="26">
        <f t="shared" si="0"/>
        <v>0.53888888888888886</v>
      </c>
      <c r="L22" s="33">
        <f t="shared" si="1"/>
        <v>3</v>
      </c>
      <c r="M22" s="34" t="s">
        <v>386</v>
      </c>
    </row>
    <row r="23" spans="1:13" ht="15">
      <c r="A23" s="3" t="s">
        <v>117</v>
      </c>
      <c r="B23" s="3" t="s">
        <v>20</v>
      </c>
      <c r="C23" s="3" t="s">
        <v>118</v>
      </c>
      <c r="D23" s="3" t="s">
        <v>67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ht="42.75">
      <c r="A24" s="2" t="s">
        <v>150</v>
      </c>
      <c r="B24" s="11">
        <f>AVERAGE(K4:K22)</f>
        <v>0.35869395711500979</v>
      </c>
      <c r="C24" s="2" t="str">
        <f>IF(B24&gt;=0.7,"высокая",IF(B24&gt;=0.4,"средняя","низкая"))</f>
        <v>низкая</v>
      </c>
      <c r="D24" s="2" t="s">
        <v>475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ht="28.5">
      <c r="A25" s="2" t="s">
        <v>151</v>
      </c>
      <c r="B25" s="11">
        <f>SUMPRODUCT(--(((F4:F22="да")+(G4:G22="да"))&gt;0))/COUNTA(A4:A22)</f>
        <v>0.52631578947368418</v>
      </c>
      <c r="C25" s="2" t="str">
        <f>IF(B25&gt;=0.75,"высокая цифровая зрелость",IF(B25&gt;=0.35,"средняя цифровая зрелость","низкая цифровая зрелость"))</f>
        <v>средняя цифровая зрелость</v>
      </c>
      <c r="D25" s="2" t="s">
        <v>476</v>
      </c>
      <c r="E25" s="2"/>
      <c r="F25" s="2"/>
      <c r="G25" s="2"/>
      <c r="H25" s="2"/>
      <c r="I25" s="2"/>
      <c r="J25" s="2"/>
      <c r="K25" s="2"/>
      <c r="L25" s="2"/>
      <c r="M25" s="2"/>
    </row>
  </sheetData>
  <mergeCells count="2">
    <mergeCell ref="A1:M1"/>
    <mergeCell ref="A2:M2"/>
  </mergeCells>
  <conditionalFormatting sqref="L4:L22">
    <cfRule type="colorScale" priority="5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22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>
      <selection activeCell="E27" sqref="E27"/>
    </sheetView>
  </sheetViews>
  <sheetFormatPr defaultRowHeight="14.25"/>
  <cols>
    <col min="1" max="1" width="55.625" customWidth="1"/>
    <col min="2" max="2" width="47.625" customWidth="1"/>
    <col min="3" max="3" width="18.625" customWidth="1"/>
    <col min="4" max="4" width="20.625" customWidth="1"/>
    <col min="5" max="5" width="10" customWidth="1"/>
    <col min="6" max="6" width="16.625" customWidth="1"/>
    <col min="7" max="7" width="18" customWidth="1"/>
    <col min="8" max="9" width="55.625" customWidth="1"/>
  </cols>
  <sheetData>
    <row r="1" spans="1:9" ht="18">
      <c r="A1" s="36" t="s">
        <v>152</v>
      </c>
      <c r="B1" s="36"/>
      <c r="C1" s="36"/>
      <c r="D1" s="36"/>
      <c r="E1" s="36"/>
      <c r="F1" s="36"/>
      <c r="G1" s="36"/>
      <c r="H1" s="36"/>
      <c r="I1" s="36"/>
    </row>
    <row r="2" spans="1:9" ht="15" customHeight="1">
      <c r="A2" s="37" t="s">
        <v>477</v>
      </c>
      <c r="B2" s="37"/>
      <c r="C2" s="37"/>
      <c r="D2" s="37"/>
      <c r="E2" s="37"/>
      <c r="F2" s="37"/>
      <c r="G2" s="37"/>
      <c r="H2" s="37"/>
      <c r="I2" s="37"/>
    </row>
    <row r="3" spans="1:9" ht="30">
      <c r="A3" s="3" t="s">
        <v>153</v>
      </c>
      <c r="B3" s="3" t="s">
        <v>154</v>
      </c>
      <c r="C3" s="3" t="s">
        <v>20</v>
      </c>
      <c r="D3" s="3" t="s">
        <v>83</v>
      </c>
      <c r="E3" s="3" t="s">
        <v>155</v>
      </c>
      <c r="F3" s="3" t="s">
        <v>156</v>
      </c>
      <c r="G3" s="3" t="s">
        <v>157</v>
      </c>
      <c r="H3" s="3" t="s">
        <v>158</v>
      </c>
      <c r="I3" s="3" t="s">
        <v>159</v>
      </c>
    </row>
    <row r="4" spans="1:9">
      <c r="A4" s="1" t="s">
        <v>160</v>
      </c>
      <c r="B4" s="1" t="s">
        <v>161</v>
      </c>
      <c r="C4" s="10">
        <f>'02_Конкуренты_SW'!B25</f>
        <v>0.85772656225577837</v>
      </c>
      <c r="D4" s="14">
        <f>IF(OR('02_Конкуренты_SW'!B25&gt;='01_Параметры'!B11,'02_Конкуренты_SW'!B27&gt;='01_Параметры'!B13),5,IF(OR('02_Конкуренты_SW'!B25&gt;='01_Параметры'!B11*0.65,'02_Конкуренты_SW'!B27&gt;='01_Параметры'!B13*0.65),3,1))</f>
        <v>5</v>
      </c>
      <c r="E4" s="15">
        <v>0.16</v>
      </c>
      <c r="F4" s="16">
        <f t="shared" ref="F4:F12" si="0">D4*E4</f>
        <v>0.8</v>
      </c>
      <c r="G4" s="1" t="str">
        <f t="shared" ref="G4:G12" si="1">IF(D4&gt;=5,"высокое",IF(D4&gt;=3,"среднее","низкое"))</f>
        <v>высокое</v>
      </c>
      <c r="H4" s="1" t="s">
        <v>478</v>
      </c>
      <c r="I4" s="1" t="s">
        <v>479</v>
      </c>
    </row>
    <row r="5" spans="1:9" ht="28.5">
      <c r="A5" s="1" t="s">
        <v>162</v>
      </c>
      <c r="B5" s="1" t="s">
        <v>163</v>
      </c>
      <c r="C5" s="10">
        <f>'03_Каналы_трафика'!C5</f>
        <v>0.1856149238345737</v>
      </c>
      <c r="D5" s="14">
        <f>'03_Каналы_трафика'!E5</f>
        <v>1</v>
      </c>
      <c r="E5" s="15">
        <v>0.12</v>
      </c>
      <c r="F5" s="16">
        <f t="shared" si="0"/>
        <v>0.12</v>
      </c>
      <c r="G5" s="1" t="str">
        <f t="shared" si="1"/>
        <v>низкое</v>
      </c>
      <c r="H5" s="1" t="s">
        <v>480</v>
      </c>
      <c r="I5" s="1" t="s">
        <v>481</v>
      </c>
    </row>
    <row r="6" spans="1:9">
      <c r="A6" s="1" t="s">
        <v>164</v>
      </c>
      <c r="B6" s="1" t="s">
        <v>165</v>
      </c>
      <c r="C6" s="10">
        <f>AVERAGE('03_Каналы_трафика'!C6,'04_Поиск_реклама'!B15)</f>
        <v>0.17543748305364212</v>
      </c>
      <c r="D6" s="14">
        <f>IF(C6&gt;=0.6,5,IF(C6&gt;=0.35,3,1))</f>
        <v>1</v>
      </c>
      <c r="E6" s="15">
        <v>0.12</v>
      </c>
      <c r="F6" s="16">
        <f t="shared" si="0"/>
        <v>0.12</v>
      </c>
      <c r="G6" s="1" t="str">
        <f t="shared" si="1"/>
        <v>низкое</v>
      </c>
      <c r="H6" s="1" t="s">
        <v>482</v>
      </c>
      <c r="I6" s="1" t="s">
        <v>483</v>
      </c>
    </row>
    <row r="7" spans="1:9">
      <c r="A7" s="1" t="s">
        <v>166</v>
      </c>
      <c r="B7" s="1" t="s">
        <v>167</v>
      </c>
      <c r="C7" s="10">
        <f>'03_Каналы_трафика'!C10</f>
        <v>0.70644796938573218</v>
      </c>
      <c r="D7" s="14">
        <f>'03_Каналы_трафика'!E10</f>
        <v>5</v>
      </c>
      <c r="E7" s="15">
        <v>0.12</v>
      </c>
      <c r="F7" s="16">
        <f t="shared" si="0"/>
        <v>0.6</v>
      </c>
      <c r="G7" s="1" t="str">
        <f t="shared" si="1"/>
        <v>высокое</v>
      </c>
      <c r="H7" s="1" t="s">
        <v>484</v>
      </c>
      <c r="I7" s="1" t="s">
        <v>485</v>
      </c>
    </row>
    <row r="8" spans="1:9">
      <c r="A8" s="1" t="s">
        <v>168</v>
      </c>
      <c r="B8" s="1" t="s">
        <v>169</v>
      </c>
      <c r="C8" s="10">
        <f>'04_Поиск_реклама'!B15</f>
        <v>0.34339999999999998</v>
      </c>
      <c r="D8" s="14">
        <f>IF(C8&gt;=0.7,5,IF(C8&gt;=0.4,3,1))</f>
        <v>1</v>
      </c>
      <c r="E8" s="15">
        <v>0.12</v>
      </c>
      <c r="F8" s="16">
        <f t="shared" si="0"/>
        <v>0.12</v>
      </c>
      <c r="G8" s="1" t="str">
        <f t="shared" si="1"/>
        <v>низкое</v>
      </c>
      <c r="H8" s="1" t="s">
        <v>486</v>
      </c>
      <c r="I8" s="1" t="s">
        <v>487</v>
      </c>
    </row>
    <row r="9" spans="1:9" ht="28.5">
      <c r="A9" s="1" t="s">
        <v>170</v>
      </c>
      <c r="B9" s="1" t="s">
        <v>171</v>
      </c>
      <c r="C9" s="10">
        <f>'05_Отзывы_рейтинги'!B24</f>
        <v>0.35675438596491238</v>
      </c>
      <c r="D9" s="14">
        <f>IF(C9&gt;=0.7,5,IF(C9&gt;=0.4,3,1))</f>
        <v>1</v>
      </c>
      <c r="E9" s="15">
        <v>0.12</v>
      </c>
      <c r="F9" s="16">
        <f t="shared" si="0"/>
        <v>0.12</v>
      </c>
      <c r="G9" s="1" t="str">
        <f t="shared" si="1"/>
        <v>низкое</v>
      </c>
      <c r="H9" s="1" t="s">
        <v>488</v>
      </c>
      <c r="I9" s="1" t="s">
        <v>489</v>
      </c>
    </row>
    <row r="10" spans="1:9" ht="28.5">
      <c r="A10" s="1" t="s">
        <v>172</v>
      </c>
      <c r="B10" s="1" t="s">
        <v>173</v>
      </c>
      <c r="C10" s="10">
        <f>'06_Технологии_финансы'!B24</f>
        <v>0.35869395711500979</v>
      </c>
      <c r="D10" s="14">
        <f>IF(C10&gt;=0.7,5,IF(C10&gt;=0.4,3,1))</f>
        <v>1</v>
      </c>
      <c r="E10" s="15">
        <v>0.12</v>
      </c>
      <c r="F10" s="16">
        <f t="shared" si="0"/>
        <v>0.12</v>
      </c>
      <c r="G10" s="1" t="str">
        <f t="shared" si="1"/>
        <v>низкое</v>
      </c>
      <c r="H10" s="1" t="s">
        <v>490</v>
      </c>
      <c r="I10" s="1" t="s">
        <v>491</v>
      </c>
    </row>
    <row r="11" spans="1:9" ht="28.5">
      <c r="A11" s="1" t="s">
        <v>174</v>
      </c>
      <c r="B11" s="1" t="s">
        <v>175</v>
      </c>
      <c r="C11" s="9">
        <v>0.33</v>
      </c>
      <c r="D11" s="16">
        <f>IF(C11&gt;=0.7,5,IF(C11&gt;=0.4,3,1))</f>
        <v>1</v>
      </c>
      <c r="E11" s="15">
        <v>0.08</v>
      </c>
      <c r="F11" s="16">
        <f t="shared" si="0"/>
        <v>0.08</v>
      </c>
      <c r="G11" s="1" t="str">
        <f t="shared" si="1"/>
        <v>низкое</v>
      </c>
      <c r="H11" s="1" t="s">
        <v>492</v>
      </c>
      <c r="I11" s="1" t="s">
        <v>493</v>
      </c>
    </row>
    <row r="12" spans="1:9" ht="28.5">
      <c r="A12" s="1" t="s">
        <v>176</v>
      </c>
      <c r="B12" s="1" t="s">
        <v>177</v>
      </c>
      <c r="C12" s="9">
        <v>0.6</v>
      </c>
      <c r="D12" s="16">
        <f>IF(C12&gt;=0.7,5,IF(C12&gt;=0.4,3,1))</f>
        <v>3</v>
      </c>
      <c r="E12" s="15">
        <v>0.08</v>
      </c>
      <c r="F12" s="16">
        <f t="shared" si="0"/>
        <v>0.24</v>
      </c>
      <c r="G12" s="1" t="str">
        <f t="shared" si="1"/>
        <v>среднее</v>
      </c>
      <c r="H12" s="1" t="s">
        <v>494</v>
      </c>
      <c r="I12" s="1" t="s">
        <v>495</v>
      </c>
    </row>
    <row r="13" spans="1:9" ht="28.5">
      <c r="A13" s="1" t="s">
        <v>178</v>
      </c>
      <c r="B13" s="1" t="s">
        <v>547</v>
      </c>
      <c r="C13" s="11">
        <f>SUM(F4:F12)</f>
        <v>2.3200000000000003</v>
      </c>
      <c r="D13" s="16">
        <f>C13</f>
        <v>2.3200000000000003</v>
      </c>
      <c r="E13" s="15">
        <f>SUM(E4:E12)</f>
        <v>1.04</v>
      </c>
      <c r="F13" s="16">
        <f>SUM(F4:F12)</f>
        <v>2.3200000000000003</v>
      </c>
      <c r="G13" s="1" t="str">
        <f>IF(F13&gt;=4,"высокие барьеры",IF(F13&gt;=2.5,"средние барьеры","низкие барьеры"))</f>
        <v>низкие барьеры</v>
      </c>
      <c r="H13" s="1" t="s">
        <v>496</v>
      </c>
      <c r="I13" s="1" t="s">
        <v>497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zoomScale="85" zoomScaleNormal="85" workbookViewId="0">
      <selection activeCell="D29" sqref="D29"/>
    </sheetView>
  </sheetViews>
  <sheetFormatPr defaultRowHeight="14.2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30" customHeight="1">
      <c r="A1" s="36" t="s">
        <v>179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32.1" customHeight="1">
      <c r="A2" s="37" t="s">
        <v>180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28.25">
      <c r="A3" s="2" t="s">
        <v>498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3.950000000000003" customHeight="1">
      <c r="A4" s="3" t="s">
        <v>181</v>
      </c>
      <c r="B4" s="3" t="s">
        <v>20</v>
      </c>
      <c r="C4" s="3" t="s">
        <v>21</v>
      </c>
      <c r="D4" s="3" t="s">
        <v>67</v>
      </c>
      <c r="E4" s="2"/>
      <c r="F4" s="3" t="s">
        <v>182</v>
      </c>
      <c r="G4" s="3" t="s">
        <v>183</v>
      </c>
      <c r="H4" s="3" t="s">
        <v>155</v>
      </c>
      <c r="I4" s="3" t="s">
        <v>156</v>
      </c>
      <c r="J4" s="2"/>
      <c r="K4" s="2"/>
      <c r="L4" s="2"/>
    </row>
    <row r="5" spans="1:12" ht="28.5">
      <c r="A5" s="1" t="s">
        <v>184</v>
      </c>
      <c r="B5" s="16">
        <f>'07_Барьеры_входа'!F13</f>
        <v>2.3200000000000003</v>
      </c>
      <c r="C5" s="1" t="s">
        <v>185</v>
      </c>
      <c r="D5" s="1" t="str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Барьеры относительно низкие, но требуется проверка платежеспособности.</v>
      </c>
      <c r="E5" s="2"/>
      <c r="F5" s="1" t="s">
        <v>160</v>
      </c>
      <c r="G5" s="16">
        <f>'07_Барьеры_входа'!D4</f>
        <v>5</v>
      </c>
      <c r="H5" s="16">
        <f>'07_Барьеры_входа'!E4</f>
        <v>0.16</v>
      </c>
      <c r="I5" s="16">
        <f>'07_Барьеры_входа'!F4</f>
        <v>0.8</v>
      </c>
      <c r="J5" s="2"/>
      <c r="K5" s="2"/>
      <c r="L5" s="2"/>
    </row>
    <row r="6" spans="1:12">
      <c r="A6" s="1" t="s">
        <v>186</v>
      </c>
      <c r="B6" s="1" t="str">
        <f>'07_Барьеры_входа'!G13</f>
        <v>низкие барьеры</v>
      </c>
      <c r="C6" s="1"/>
      <c r="D6" s="1"/>
      <c r="E6" s="2"/>
      <c r="F6" s="1" t="s">
        <v>187</v>
      </c>
      <c r="G6" s="16">
        <f>'07_Барьеры_входа'!D5</f>
        <v>1</v>
      </c>
      <c r="H6" s="16">
        <f>'07_Барьеры_входа'!E5</f>
        <v>0.12</v>
      </c>
      <c r="I6" s="16">
        <f>'07_Барьеры_входа'!F5</f>
        <v>0.12</v>
      </c>
      <c r="J6" s="2"/>
      <c r="K6" s="2"/>
      <c r="L6" s="2"/>
    </row>
    <row r="7" spans="1:12">
      <c r="A7" s="1" t="s">
        <v>188</v>
      </c>
      <c r="B7" s="11">
        <f>'02_Конкуренты_SW'!B25</f>
        <v>0.85772656225577837</v>
      </c>
      <c r="C7" s="1" t="s">
        <v>36</v>
      </c>
      <c r="D7" s="1" t="str">
        <f>IF(B7&gt;='01_Параметры'!B11,"Высокая концентрация лидеров",IF(B7&gt;='01_Параметры'!B11*0.65,"Средняя концентрация","Низкая концентрация"))</f>
        <v>Высокая концентрация лидеров</v>
      </c>
      <c r="E7" s="2"/>
      <c r="F7" s="1" t="s">
        <v>189</v>
      </c>
      <c r="G7" s="16">
        <f>'07_Барьеры_входа'!D6</f>
        <v>1</v>
      </c>
      <c r="H7" s="16">
        <f>'07_Барьеры_входа'!E6</f>
        <v>0.12</v>
      </c>
      <c r="I7" s="16">
        <f>'07_Барьеры_входа'!F6</f>
        <v>0.12</v>
      </c>
      <c r="J7" s="2"/>
      <c r="K7" s="2"/>
      <c r="L7" s="2"/>
    </row>
    <row r="8" spans="1:12">
      <c r="A8" s="1" t="s">
        <v>190</v>
      </c>
      <c r="B8" s="17">
        <f>'02_Конкуренты_SW'!B27</f>
        <v>3869.0205006645256</v>
      </c>
      <c r="C8" s="1" t="s">
        <v>39</v>
      </c>
      <c r="D8" s="1"/>
      <c r="E8" s="2"/>
      <c r="F8" s="1" t="s">
        <v>102</v>
      </c>
      <c r="G8" s="16">
        <f>'07_Барьеры_входа'!D7</f>
        <v>5</v>
      </c>
      <c r="H8" s="16">
        <f>'07_Барьеры_входа'!E7</f>
        <v>0.12</v>
      </c>
      <c r="I8" s="16">
        <f>'07_Барьеры_входа'!F7</f>
        <v>0.6</v>
      </c>
      <c r="J8" s="2"/>
      <c r="K8" s="2"/>
      <c r="L8" s="2"/>
    </row>
    <row r="9" spans="1:12" ht="28.5">
      <c r="A9" s="1" t="s">
        <v>191</v>
      </c>
      <c r="B9" s="11">
        <f>'04_Поиск_реклама'!B15</f>
        <v>0.34339999999999998</v>
      </c>
      <c r="C9" s="1" t="s">
        <v>36</v>
      </c>
      <c r="D9" s="1"/>
      <c r="E9" s="2"/>
      <c r="F9" s="1" t="s">
        <v>192</v>
      </c>
      <c r="G9" s="16">
        <f>'07_Барьеры_входа'!D8</f>
        <v>1</v>
      </c>
      <c r="H9" s="16">
        <f>'07_Барьеры_входа'!E8</f>
        <v>0.12</v>
      </c>
      <c r="I9" s="16">
        <f>'07_Барьеры_входа'!F8</f>
        <v>0.12</v>
      </c>
      <c r="J9" s="2"/>
      <c r="K9" s="2"/>
      <c r="L9" s="2"/>
    </row>
    <row r="10" spans="1:12" ht="28.5">
      <c r="A10" s="1" t="s">
        <v>136</v>
      </c>
      <c r="B10" s="11">
        <f>'05_Отзывы_рейтинги'!B24</f>
        <v>0.35675438596491238</v>
      </c>
      <c r="C10" s="1" t="s">
        <v>36</v>
      </c>
      <c r="D10" s="1"/>
      <c r="E10" s="2"/>
      <c r="F10" s="1" t="s">
        <v>193</v>
      </c>
      <c r="G10" s="16">
        <f>'07_Барьеры_входа'!D9</f>
        <v>1</v>
      </c>
      <c r="H10" s="16">
        <f>'07_Барьеры_входа'!E9</f>
        <v>0.12</v>
      </c>
      <c r="I10" s="16">
        <f>'07_Барьеры_входа'!F9</f>
        <v>0.12</v>
      </c>
      <c r="J10" s="2"/>
      <c r="K10" s="2"/>
      <c r="L10" s="2"/>
    </row>
    <row r="11" spans="1:12">
      <c r="A11" s="1" t="s">
        <v>150</v>
      </c>
      <c r="B11" s="11">
        <f>'06_Технологии_финансы'!B24</f>
        <v>0.35869395711500979</v>
      </c>
      <c r="C11" s="1" t="s">
        <v>36</v>
      </c>
      <c r="D11" s="1"/>
      <c r="E11" s="2"/>
      <c r="F11" s="1" t="s">
        <v>194</v>
      </c>
      <c r="G11" s="16">
        <f>'07_Барьеры_входа'!D10</f>
        <v>1</v>
      </c>
      <c r="H11" s="16">
        <f>'07_Барьеры_входа'!E10</f>
        <v>0.12</v>
      </c>
      <c r="I11" s="16">
        <f>'07_Барьеры_входа'!F10</f>
        <v>0.12</v>
      </c>
      <c r="J11" s="2"/>
      <c r="K11" s="2"/>
      <c r="L11" s="2"/>
    </row>
    <row r="12" spans="1:12">
      <c r="A12" s="2"/>
      <c r="B12" s="2"/>
      <c r="C12" s="2"/>
      <c r="D12" s="2"/>
      <c r="E12" s="2"/>
      <c r="F12" s="1" t="s">
        <v>195</v>
      </c>
      <c r="G12" s="16">
        <f>'07_Барьеры_входа'!D11</f>
        <v>1</v>
      </c>
      <c r="H12" s="16">
        <f>'07_Барьеры_входа'!E11</f>
        <v>0.08</v>
      </c>
      <c r="I12" s="16">
        <f>'07_Барьеры_входа'!F11</f>
        <v>0.08</v>
      </c>
      <c r="J12" s="2"/>
      <c r="K12" s="2"/>
      <c r="L12" s="2"/>
    </row>
    <row r="13" spans="1:12">
      <c r="A13" s="2"/>
      <c r="B13" s="2"/>
      <c r="C13" s="2"/>
      <c r="D13" s="2"/>
      <c r="E13" s="2"/>
      <c r="F13" s="1" t="s">
        <v>196</v>
      </c>
      <c r="G13" s="16">
        <f>'07_Барьеры_входа'!D12</f>
        <v>3</v>
      </c>
      <c r="H13" s="16">
        <f>'07_Барьеры_входа'!E12</f>
        <v>0.08</v>
      </c>
      <c r="I13" s="16">
        <f>'07_Барьеры_входа'!F12</f>
        <v>0.24</v>
      </c>
      <c r="J13" s="2"/>
      <c r="K13" s="2"/>
      <c r="L13" s="2"/>
    </row>
    <row r="14" spans="1:12" ht="27.95" customHeight="1">
      <c r="A14" s="38" t="s">
        <v>197</v>
      </c>
      <c r="B14" s="38"/>
      <c r="C14" s="38"/>
      <c r="D14" s="38"/>
      <c r="E14" s="2"/>
      <c r="F14" s="2"/>
      <c r="G14" s="2"/>
      <c r="H14" s="2"/>
      <c r="I14" s="2"/>
      <c r="J14" s="2"/>
      <c r="K14" s="2"/>
      <c r="L14" s="2"/>
    </row>
    <row r="15" spans="1:12">
      <c r="A15" s="40" t="s">
        <v>542</v>
      </c>
      <c r="B15" s="40"/>
      <c r="C15" s="40"/>
      <c r="D15" s="40"/>
      <c r="E15" s="2"/>
      <c r="F15" s="2"/>
      <c r="G15" s="2"/>
      <c r="H15" s="2"/>
      <c r="I15" s="2"/>
      <c r="J15" s="2"/>
      <c r="K15" s="2"/>
      <c r="L15" s="2"/>
    </row>
  </sheetData>
  <mergeCells count="4">
    <mergeCell ref="A1:L1"/>
    <mergeCell ref="A2:L2"/>
    <mergeCell ref="A14:D14"/>
    <mergeCell ref="A15:D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topLeftCell="D1" workbookViewId="0">
      <selection activeCell="E28" sqref="E28"/>
    </sheetView>
  </sheetViews>
  <sheetFormatPr defaultRowHeight="14.25"/>
  <cols>
    <col min="1" max="1" width="55.625" customWidth="1"/>
    <col min="2" max="2" width="50.625" customWidth="1"/>
    <col min="3" max="3" width="55.625" customWidth="1"/>
    <col min="4" max="4" width="48.625" customWidth="1"/>
    <col min="5" max="5" width="49.625" customWidth="1"/>
    <col min="6" max="7" width="55.625" customWidth="1"/>
  </cols>
  <sheetData>
    <row r="1" spans="1:7" ht="18">
      <c r="A1" s="36" t="s">
        <v>198</v>
      </c>
      <c r="B1" s="36"/>
      <c r="C1" s="36"/>
      <c r="D1" s="36"/>
      <c r="E1" s="36"/>
      <c r="F1" s="36"/>
      <c r="G1" s="36"/>
    </row>
    <row r="2" spans="1:7" ht="15" customHeight="1">
      <c r="A2" s="37" t="s">
        <v>199</v>
      </c>
      <c r="B2" s="37"/>
      <c r="C2" s="37"/>
      <c r="D2" s="37"/>
      <c r="E2" s="37"/>
      <c r="F2" s="37"/>
      <c r="G2" s="37"/>
    </row>
    <row r="3" spans="1:7" ht="15">
      <c r="A3" s="3" t="s">
        <v>86</v>
      </c>
      <c r="B3" s="3" t="s">
        <v>200</v>
      </c>
      <c r="C3" s="3" t="s">
        <v>201</v>
      </c>
      <c r="D3" s="3" t="s">
        <v>202</v>
      </c>
      <c r="E3" s="3" t="s">
        <v>203</v>
      </c>
      <c r="F3" s="3" t="s">
        <v>204</v>
      </c>
      <c r="G3" s="3" t="s">
        <v>205</v>
      </c>
    </row>
    <row r="4" spans="1:7" ht="57">
      <c r="A4" s="1" t="s">
        <v>88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543</v>
      </c>
      <c r="G4" s="1" t="s">
        <v>369</v>
      </c>
    </row>
    <row r="5" spans="1:7" ht="28.5">
      <c r="A5" s="1" t="s">
        <v>210</v>
      </c>
      <c r="B5" s="1" t="s">
        <v>211</v>
      </c>
      <c r="C5" s="1" t="s">
        <v>212</v>
      </c>
      <c r="D5" s="1" t="s">
        <v>213</v>
      </c>
      <c r="E5" s="1" t="s">
        <v>214</v>
      </c>
      <c r="F5" s="1" t="s">
        <v>367</v>
      </c>
      <c r="G5" s="1" t="s">
        <v>215</v>
      </c>
    </row>
    <row r="6" spans="1:7" ht="28.5">
      <c r="A6" s="1" t="s">
        <v>216</v>
      </c>
      <c r="B6" s="1" t="s">
        <v>217</v>
      </c>
      <c r="C6" s="1" t="s">
        <v>218</v>
      </c>
      <c r="D6" s="1" t="s">
        <v>219</v>
      </c>
      <c r="E6" s="1" t="s">
        <v>220</v>
      </c>
      <c r="F6" s="1" t="s">
        <v>353</v>
      </c>
      <c r="G6" s="1" t="s">
        <v>221</v>
      </c>
    </row>
    <row r="7" spans="1:7" ht="28.5">
      <c r="A7" s="1" t="s">
        <v>222</v>
      </c>
      <c r="B7" s="1" t="s">
        <v>223</v>
      </c>
      <c r="C7" s="1" t="s">
        <v>224</v>
      </c>
      <c r="D7" s="1" t="s">
        <v>225</v>
      </c>
      <c r="E7" s="1" t="s">
        <v>226</v>
      </c>
      <c r="F7" s="1" t="s">
        <v>354</v>
      </c>
      <c r="G7" s="1" t="s">
        <v>227</v>
      </c>
    </row>
    <row r="8" spans="1:7">
      <c r="A8" s="1" t="s">
        <v>228</v>
      </c>
      <c r="B8" s="1" t="s">
        <v>229</v>
      </c>
      <c r="C8" s="1" t="s">
        <v>230</v>
      </c>
      <c r="D8" s="1" t="s">
        <v>231</v>
      </c>
      <c r="E8" s="1" t="s">
        <v>232</v>
      </c>
      <c r="F8" s="1" t="s">
        <v>544</v>
      </c>
      <c r="G8" s="1" t="s">
        <v>233</v>
      </c>
    </row>
    <row r="9" spans="1:7">
      <c r="A9" s="1" t="s">
        <v>234</v>
      </c>
      <c r="B9" s="1" t="s">
        <v>235</v>
      </c>
      <c r="C9" s="1" t="s">
        <v>236</v>
      </c>
      <c r="D9" s="1" t="s">
        <v>237</v>
      </c>
      <c r="E9" s="1" t="s">
        <v>238</v>
      </c>
      <c r="F9" s="1" t="s">
        <v>366</v>
      </c>
      <c r="G9" s="1" t="s">
        <v>239</v>
      </c>
    </row>
    <row r="10" spans="1:7">
      <c r="A10" s="1" t="s">
        <v>240</v>
      </c>
      <c r="B10" s="1" t="s">
        <v>241</v>
      </c>
      <c r="C10" s="1" t="s">
        <v>242</v>
      </c>
      <c r="D10" s="1" t="s">
        <v>243</v>
      </c>
      <c r="E10" s="1" t="s">
        <v>244</v>
      </c>
      <c r="F10" s="1" t="s">
        <v>355</v>
      </c>
      <c r="G10" s="1" t="s">
        <v>245</v>
      </c>
    </row>
    <row r="11" spans="1:7" ht="28.5">
      <c r="A11" s="1" t="s">
        <v>246</v>
      </c>
      <c r="B11" s="1" t="s">
        <v>247</v>
      </c>
      <c r="C11" s="1" t="s">
        <v>248</v>
      </c>
      <c r="D11" s="1" t="s">
        <v>249</v>
      </c>
      <c r="E11" s="1" t="s">
        <v>250</v>
      </c>
      <c r="F11" s="1" t="s">
        <v>356</v>
      </c>
      <c r="G11" s="1" t="s">
        <v>251</v>
      </c>
    </row>
    <row r="12" spans="1:7" ht="28.5">
      <c r="A12" s="1" t="s">
        <v>252</v>
      </c>
      <c r="B12" s="1" t="s">
        <v>253</v>
      </c>
      <c r="C12" s="1" t="s">
        <v>254</v>
      </c>
      <c r="D12" s="1" t="s">
        <v>249</v>
      </c>
      <c r="E12" s="1" t="s">
        <v>250</v>
      </c>
      <c r="F12" s="1" t="s">
        <v>356</v>
      </c>
      <c r="G12" s="1" t="s">
        <v>255</v>
      </c>
    </row>
    <row r="13" spans="1:7">
      <c r="A13" s="1" t="s">
        <v>256</v>
      </c>
      <c r="B13" s="1" t="s">
        <v>257</v>
      </c>
      <c r="C13" s="1" t="s">
        <v>258</v>
      </c>
      <c r="D13" s="1" t="s">
        <v>259</v>
      </c>
      <c r="E13" s="1" t="s">
        <v>260</v>
      </c>
      <c r="F13" s="1" t="s">
        <v>357</v>
      </c>
      <c r="G13" s="1" t="s">
        <v>261</v>
      </c>
    </row>
    <row r="14" spans="1:7">
      <c r="A14" s="1" t="s">
        <v>262</v>
      </c>
      <c r="B14" s="1" t="s">
        <v>263</v>
      </c>
      <c r="C14" s="1" t="s">
        <v>264</v>
      </c>
      <c r="D14" s="1" t="s">
        <v>259</v>
      </c>
      <c r="E14" s="1" t="s">
        <v>265</v>
      </c>
      <c r="F14" s="1" t="s">
        <v>357</v>
      </c>
      <c r="G14" s="1" t="s">
        <v>266</v>
      </c>
    </row>
    <row r="15" spans="1:7">
      <c r="A15" s="1" t="s">
        <v>267</v>
      </c>
      <c r="B15" s="1" t="s">
        <v>268</v>
      </c>
      <c r="C15" s="1" t="s">
        <v>269</v>
      </c>
      <c r="D15" s="1" t="s">
        <v>270</v>
      </c>
      <c r="E15" s="1" t="s">
        <v>265</v>
      </c>
      <c r="F15" s="1" t="s">
        <v>357</v>
      </c>
      <c r="G15" s="1" t="s">
        <v>271</v>
      </c>
    </row>
    <row r="16" spans="1:7">
      <c r="A16" s="1" t="s">
        <v>272</v>
      </c>
      <c r="B16" s="1" t="s">
        <v>273</v>
      </c>
      <c r="C16" s="1" t="s">
        <v>274</v>
      </c>
      <c r="D16" s="1" t="s">
        <v>275</v>
      </c>
      <c r="E16" s="1" t="s">
        <v>265</v>
      </c>
      <c r="F16" s="1" t="s">
        <v>358</v>
      </c>
      <c r="G16" s="1" t="s">
        <v>276</v>
      </c>
    </row>
    <row r="17" spans="1:7">
      <c r="A17" s="1" t="s">
        <v>277</v>
      </c>
      <c r="B17" s="1" t="s">
        <v>278</v>
      </c>
      <c r="C17" s="1" t="s">
        <v>279</v>
      </c>
      <c r="D17" s="1" t="s">
        <v>280</v>
      </c>
      <c r="E17" s="1" t="s">
        <v>281</v>
      </c>
      <c r="F17" s="1" t="s">
        <v>359</v>
      </c>
      <c r="G17" s="1" t="s">
        <v>282</v>
      </c>
    </row>
    <row r="18" spans="1:7">
      <c r="A18" s="1" t="s">
        <v>283</v>
      </c>
      <c r="B18" s="1" t="s">
        <v>284</v>
      </c>
      <c r="C18" s="1" t="s">
        <v>285</v>
      </c>
      <c r="D18" s="1" t="s">
        <v>286</v>
      </c>
      <c r="E18" s="1" t="s">
        <v>287</v>
      </c>
      <c r="F18" s="1" t="s">
        <v>360</v>
      </c>
      <c r="G18" s="1" t="s">
        <v>288</v>
      </c>
    </row>
    <row r="19" spans="1:7" ht="28.5">
      <c r="A19" s="1" t="s">
        <v>289</v>
      </c>
      <c r="B19" s="1" t="s">
        <v>290</v>
      </c>
      <c r="C19" s="1" t="s">
        <v>291</v>
      </c>
      <c r="D19" s="1" t="s">
        <v>292</v>
      </c>
      <c r="E19" s="1" t="s">
        <v>293</v>
      </c>
      <c r="F19" s="1" t="s">
        <v>361</v>
      </c>
      <c r="G19" s="1" t="s">
        <v>294</v>
      </c>
    </row>
    <row r="20" spans="1:7">
      <c r="A20" s="1" t="s">
        <v>324</v>
      </c>
      <c r="B20" s="1" t="s">
        <v>325</v>
      </c>
      <c r="C20" s="1" t="s">
        <v>326</v>
      </c>
      <c r="D20" s="1" t="s">
        <v>327</v>
      </c>
      <c r="E20" s="1" t="s">
        <v>328</v>
      </c>
      <c r="F20" s="1" t="s">
        <v>362</v>
      </c>
      <c r="G20" s="1" t="s">
        <v>329</v>
      </c>
    </row>
    <row r="21" spans="1:7">
      <c r="A21" s="1" t="s">
        <v>330</v>
      </c>
      <c r="B21" s="1" t="s">
        <v>331</v>
      </c>
      <c r="C21" s="1" t="s">
        <v>332</v>
      </c>
      <c r="D21" s="1" t="s">
        <v>333</v>
      </c>
      <c r="E21" s="1" t="s">
        <v>334</v>
      </c>
      <c r="F21" s="1" t="s">
        <v>363</v>
      </c>
      <c r="G21" s="1" t="s">
        <v>335</v>
      </c>
    </row>
    <row r="22" spans="1:7">
      <c r="A22" s="1" t="s">
        <v>336</v>
      </c>
      <c r="B22" s="1" t="s">
        <v>337</v>
      </c>
      <c r="C22" s="1" t="s">
        <v>545</v>
      </c>
      <c r="D22" s="1" t="s">
        <v>338</v>
      </c>
      <c r="E22" s="1" t="s">
        <v>339</v>
      </c>
      <c r="F22" s="1" t="s">
        <v>364</v>
      </c>
      <c r="G22" s="1" t="s">
        <v>546</v>
      </c>
    </row>
    <row r="23" spans="1:7">
      <c r="A23" s="1" t="s">
        <v>340</v>
      </c>
      <c r="B23" s="1" t="s">
        <v>341</v>
      </c>
      <c r="C23" s="1" t="s">
        <v>342</v>
      </c>
      <c r="D23" s="1" t="s">
        <v>343</v>
      </c>
      <c r="E23" s="1" t="s">
        <v>344</v>
      </c>
      <c r="F23" s="1" t="s">
        <v>365</v>
      </c>
      <c r="G23" s="1" t="s">
        <v>345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2026-09-30T18:00:08Z</dcterms:created>
  <dcterms:modified xsi:type="dcterms:W3CDTF">2026-10-04T19:30:10Z</dcterms:modified>
</cp:coreProperties>
</file>