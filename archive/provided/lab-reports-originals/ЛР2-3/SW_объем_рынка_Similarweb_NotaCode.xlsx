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46E4F6D3-C61C-4836-809C-BF5FE1D6F6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1_Вариант_М2" sheetId="52" r:id="rId1"/>
    <sheet name="10_TAM_SAM_SOM_М1" sheetId="51" r:id="rId2"/>
    <sheet name="09_Концентрация" sheetId="50" r:id="rId3"/>
    <sheet name="00_Методика" sheetId="1" r:id="rId4"/>
    <sheet name="01_Параметры" sheetId="2" r:id="rId5"/>
    <sheet name="02_Конкуренты_SW" sheetId="3" r:id="rId6"/>
    <sheet name="03_Каналы" sheetId="4" r:id="rId7"/>
    <sheet name="04_География" sheetId="5" r:id="rId8"/>
    <sheet name="05_Запросы" sheetId="6" r:id="rId9"/>
    <sheet name="06_Воронка_сценарии" sheetId="7" r:id="rId10"/>
    <sheet name="07_Дашборд" sheetId="8" r:id="rId11"/>
    <sheet name="08_Источники" sheetId="9" r:id="rId12"/>
  </sheets>
  <calcPr calcId="191029" refMode="R1C1"/>
</workbook>
</file>

<file path=xl/calcChain.xml><?xml version="1.0" encoding="utf-8"?>
<calcChain xmlns="http://schemas.openxmlformats.org/spreadsheetml/2006/main">
  <c r="B8" i="2" l="1"/>
  <c r="B16" i="51" s="1"/>
  <c r="D5" i="52"/>
  <c r="C5" i="52"/>
  <c r="B5" i="52"/>
  <c r="D4" i="52"/>
  <c r="D6" i="52" s="1"/>
  <c r="D8" i="52" s="1"/>
  <c r="D10" i="52" s="1"/>
  <c r="D14" i="52" s="1"/>
  <c r="D15" i="52" s="1"/>
  <c r="D17" i="52" s="1"/>
  <c r="C4" i="52"/>
  <c r="B4" i="52"/>
  <c r="B13" i="51"/>
  <c r="B12" i="51"/>
  <c r="B11" i="51"/>
  <c r="B10" i="51"/>
  <c r="B8" i="51"/>
  <c r="B4" i="51"/>
  <c r="B3" i="51"/>
  <c r="B5" i="51" s="1"/>
  <c r="B7" i="50"/>
  <c r="A7" i="50"/>
  <c r="B6" i="50"/>
  <c r="A6" i="50"/>
  <c r="B5" i="50"/>
  <c r="A5" i="50"/>
  <c r="B4" i="50"/>
  <c r="A4" i="50"/>
  <c r="I7" i="5"/>
  <c r="J7" i="5" s="1"/>
  <c r="I6" i="5"/>
  <c r="J6" i="5" s="1"/>
  <c r="I5" i="5"/>
  <c r="J5" i="5" s="1"/>
  <c r="I4" i="5"/>
  <c r="J4" i="5" s="1"/>
  <c r="D4" i="8"/>
  <c r="B4" i="8"/>
  <c r="E20" i="7"/>
  <c r="C20" i="7"/>
  <c r="A20" i="7"/>
  <c r="G7" i="5"/>
  <c r="G6" i="5"/>
  <c r="G5" i="5"/>
  <c r="G4" i="5"/>
  <c r="K8" i="3"/>
  <c r="J8" i="3"/>
  <c r="E8" i="3"/>
  <c r="G7" i="3"/>
  <c r="E7" i="50" s="1"/>
  <c r="G6" i="3"/>
  <c r="E6" i="50" s="1"/>
  <c r="I6" i="50" s="1"/>
  <c r="G5" i="3"/>
  <c r="E5" i="50" s="1"/>
  <c r="G4" i="3"/>
  <c r="B15" i="51" l="1"/>
  <c r="B17" i="51" s="1"/>
  <c r="B6" i="52"/>
  <c r="B8" i="52" s="1"/>
  <c r="B10" i="52" s="1"/>
  <c r="B14" i="52" s="1"/>
  <c r="B15" i="52" s="1"/>
  <c r="B17" i="52" s="1"/>
  <c r="B9" i="50"/>
  <c r="C6" i="52"/>
  <c r="C8" i="52" s="1"/>
  <c r="C10" i="52" s="1"/>
  <c r="C14" i="52" s="1"/>
  <c r="C15" i="52" s="1"/>
  <c r="C17" i="52" s="1"/>
  <c r="C7" i="50"/>
  <c r="D7" i="50" s="1"/>
  <c r="C5" i="50"/>
  <c r="D5" i="50" s="1"/>
  <c r="C6" i="50"/>
  <c r="D6" i="50" s="1"/>
  <c r="I5" i="50"/>
  <c r="I7" i="50"/>
  <c r="C4" i="50"/>
  <c r="E4" i="50"/>
  <c r="R8" i="3"/>
  <c r="B9" i="4" s="1"/>
  <c r="B9" i="2"/>
  <c r="C6" i="7" s="1"/>
  <c r="H6" i="7" s="1"/>
  <c r="I6" i="7" s="1"/>
  <c r="J6" i="7" s="1"/>
  <c r="M8" i="3"/>
  <c r="B4" i="4" s="1"/>
  <c r="N8" i="3"/>
  <c r="B5" i="4" s="1"/>
  <c r="B6" i="51" s="1"/>
  <c r="B7" i="51" s="1"/>
  <c r="B9" i="51" s="1"/>
  <c r="B14" i="51" s="1"/>
  <c r="O8" i="3"/>
  <c r="B6" i="4" s="1"/>
  <c r="P8" i="3"/>
  <c r="B7" i="4" s="1"/>
  <c r="Q8" i="3"/>
  <c r="B8" i="4" s="1"/>
  <c r="H5" i="3"/>
  <c r="F4" i="8"/>
  <c r="B6" i="8"/>
  <c r="I5" i="3"/>
  <c r="G8" i="3"/>
  <c r="I7" i="3"/>
  <c r="H7" i="3"/>
  <c r="I6" i="3"/>
  <c r="H6" i="3"/>
  <c r="I4" i="3"/>
  <c r="H4" i="3"/>
  <c r="I4" i="50" l="1"/>
  <c r="E9" i="50"/>
  <c r="F4" i="50"/>
  <c r="D4" i="50"/>
  <c r="D9" i="50" s="1"/>
  <c r="B14" i="50" s="1"/>
  <c r="B12" i="50"/>
  <c r="B13" i="50"/>
  <c r="F6" i="50"/>
  <c r="G6" i="50" s="1"/>
  <c r="F5" i="50"/>
  <c r="G5" i="50" s="1"/>
  <c r="F7" i="50"/>
  <c r="G7" i="50" s="1"/>
  <c r="B10" i="2"/>
  <c r="B13" i="2" s="1"/>
  <c r="H4" i="8"/>
  <c r="C5" i="7"/>
  <c r="H5" i="7" s="1"/>
  <c r="I5" i="7" s="1"/>
  <c r="J5" i="7" s="1"/>
  <c r="C7" i="7"/>
  <c r="H7" i="7" s="1"/>
  <c r="I7" i="7" s="1"/>
  <c r="J7" i="7" s="1"/>
  <c r="B12" i="2"/>
  <c r="J5" i="8"/>
  <c r="B19" i="8"/>
  <c r="H5" i="4"/>
  <c r="B18" i="8"/>
  <c r="B17" i="8"/>
  <c r="B21" i="8"/>
  <c r="B20" i="8"/>
  <c r="B22" i="8"/>
  <c r="D6" i="8"/>
  <c r="I8" i="3"/>
  <c r="D5" i="8"/>
  <c r="B12" i="8"/>
  <c r="B13" i="7"/>
  <c r="D13" i="7" s="1"/>
  <c r="D21" i="7"/>
  <c r="H8" i="3"/>
  <c r="J5" i="50" l="1"/>
  <c r="K5" i="50" s="1"/>
  <c r="J7" i="50"/>
  <c r="K7" i="50" s="1"/>
  <c r="G4" i="50"/>
  <c r="G9" i="50" s="1"/>
  <c r="C14" i="50" s="1"/>
  <c r="C12" i="50"/>
  <c r="C13" i="50"/>
  <c r="B16" i="50"/>
  <c r="B15" i="50"/>
  <c r="I9" i="50"/>
  <c r="J4" i="50"/>
  <c r="J6" i="50"/>
  <c r="K6" i="50" s="1"/>
  <c r="C8" i="4"/>
  <c r="C5" i="4"/>
  <c r="C4" i="4"/>
  <c r="C7" i="4"/>
  <c r="C9" i="4"/>
  <c r="C6" i="4"/>
  <c r="B12" i="7"/>
  <c r="D12" i="7" s="1"/>
  <c r="B11" i="8"/>
  <c r="B21" i="7"/>
  <c r="B5" i="8"/>
  <c r="B13" i="8"/>
  <c r="B14" i="7"/>
  <c r="D14" i="7" s="1"/>
  <c r="F21" i="7"/>
  <c r="F5" i="8"/>
  <c r="J4" i="8"/>
  <c r="C7" i="5"/>
  <c r="D7" i="5" s="1"/>
  <c r="D6" i="6"/>
  <c r="K6" i="6" s="1"/>
  <c r="C4" i="5"/>
  <c r="D4" i="5" s="1"/>
  <c r="D9" i="6"/>
  <c r="K9" i="6" s="1"/>
  <c r="C5" i="5"/>
  <c r="D5" i="5" s="1"/>
  <c r="C6" i="5"/>
  <c r="D6" i="5" s="1"/>
  <c r="D4" i="6"/>
  <c r="K4" i="6" s="1"/>
  <c r="D5" i="6"/>
  <c r="K5" i="6" s="1"/>
  <c r="D7" i="6"/>
  <c r="K7" i="6" s="1"/>
  <c r="D8" i="6"/>
  <c r="K8" i="6" s="1"/>
  <c r="D10" i="6"/>
  <c r="K10" i="6" s="1"/>
  <c r="D20" i="7"/>
  <c r="H5" i="8"/>
  <c r="C12" i="8"/>
  <c r="B22" i="7" l="1"/>
  <c r="B7" i="8" s="1"/>
  <c r="K4" i="50"/>
  <c r="K9" i="50" s="1"/>
  <c r="D14" i="50" s="1"/>
  <c r="D12" i="50"/>
  <c r="D13" i="50"/>
  <c r="C16" i="50"/>
  <c r="C15" i="50"/>
  <c r="D8" i="4"/>
  <c r="C21" i="8"/>
  <c r="D5" i="4"/>
  <c r="C18" i="8"/>
  <c r="D4" i="4"/>
  <c r="C17" i="8"/>
  <c r="C20" i="8"/>
  <c r="D7" i="4"/>
  <c r="D6" i="4"/>
  <c r="C19" i="8"/>
  <c r="D9" i="4"/>
  <c r="C22" i="8"/>
  <c r="G4" i="6"/>
  <c r="G10" i="6"/>
  <c r="G9" i="6"/>
  <c r="G8" i="6"/>
  <c r="G7" i="6"/>
  <c r="G6" i="6"/>
  <c r="G5" i="6"/>
  <c r="B20" i="7"/>
  <c r="C11" i="8"/>
  <c r="C13" i="8"/>
  <c r="F20" i="7"/>
  <c r="D16" i="50" l="1"/>
  <c r="D15" i="50"/>
  <c r="F6" i="8"/>
  <c r="H6" i="8"/>
</calcChain>
</file>

<file path=xl/sharedStrings.xml><?xml version="1.0" encoding="utf-8"?>
<sst xmlns="http://schemas.openxmlformats.org/spreadsheetml/2006/main" count="573" uniqueCount="443">
  <si>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</si>
  <si>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</si>
  <si>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</si>
  <si>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</si>
  <si>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</si>
  <si>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</si>
  <si>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</si>
  <si>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</si>
  <si>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</si>
  <si>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</si>
  <si>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</si>
  <si>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</si>
  <si>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</si>
  <si>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</si>
  <si>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</si>
  <si>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</si>
  <si>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</si>
  <si>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</si>
  <si>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</si>
  <si>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</si>
  <si>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</si>
  <si>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</si>
  <si>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</si>
  <si>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</si>
  <si>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</si>
  <si>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</si>
  <si>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</si>
  <si>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</si>
  <si>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</si>
  <si>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</si>
  <si>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</si>
  <si>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</si>
  <si>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</si>
  <si>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</si>
  <si>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</si>
  <si>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</si>
  <si>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</si>
  <si>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</si>
  <si>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</si>
  <si>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</si>
  <si>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</si>
  <si>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</si>
  <si>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</si>
  <si>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</si>
  <si>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</si>
  <si>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</si>
  <si>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</si>
  <si>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</si>
  <si>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</si>
  <si>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</si>
  <si>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</si>
  <si>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</si>
  <si>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</si>
  <si>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</si>
  <si>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</si>
  <si>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</si>
  <si>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</si>
  <si>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</si>
  <si>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</si>
  <si>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</si>
  <si>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</si>
  <si>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</si>
  <si>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</si>
  <si>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</si>
  <si>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</si>
  <si>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</si>
  <si>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</si>
  <si>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</si>
  <si>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</si>
  <si>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</si>
  <si>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</si>
  <si>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</si>
  <si>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</si>
  <si>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</si>
  <si>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</si>
  <si>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</si>
  <si>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</si>
  <si>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</si>
  <si>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</si>
  <si>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</si>
  <si>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</si>
  <si>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</si>
  <si>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</si>
  <si>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</si>
  <si>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</si>
  <si>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</si>
  <si>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</si>
  <si>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</si>
  <si>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</si>
  <si>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</si>
  <si>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</si>
  <si>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</si>
  <si>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</si>
  <si>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</si>
  <si>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</si>
  <si>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</si>
  <si>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</si>
  <si>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</si>
  <si>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</si>
  <si>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текст</t>
  </si>
  <si>
    <t>Замените на ваш рынок</t>
  </si>
  <si>
    <t>Географическая граница</t>
  </si>
  <si>
    <t>Республика Беларусь</t>
  </si>
  <si>
    <t>Страна, регион или город</t>
  </si>
  <si>
    <t>Период анализа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</si>
  <si>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</si>
  <si>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</si>
  <si>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</si>
  <si>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</si>
  <si>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</si>
  <si>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</si>
  <si>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</si>
  <si>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</si>
  <si>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</si>
  <si>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Наблюдаемый релевантный трафик, год</t>
  </si>
  <si>
    <t>Коэффициент покрытия конкурентов</t>
  </si>
  <si>
    <t>%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</si>
  <si>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</si>
  <si>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</si>
  <si>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</si>
  <si>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</si>
  <si>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</si>
  <si>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</si>
  <si>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</si>
  <si>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</si>
  <si>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</si>
  <si>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Например, последние 3 месяца для всех сайтов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</si>
  <si>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</si>
  <si>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</si>
  <si>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</si>
  <si>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</si>
  <si>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</si>
  <si>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</si>
  <si>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</si>
  <si>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</si>
  <si>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</si>
  <si>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</si>
  <si>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Доля выбранной географии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</si>
  <si>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</si>
  <si>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</si>
  <si>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</si>
  <si>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</si>
  <si>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</si>
  <si>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</si>
  <si>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</si>
  <si>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</si>
  <si>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</si>
  <si>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</si>
  <si>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</si>
  <si>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</si>
  <si>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прямой</t>
  </si>
  <si>
    <t>заменитель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</si>
  <si>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</si>
  <si>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</si>
  <si>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</si>
  <si>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</si>
  <si>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</si>
  <si>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</si>
  <si>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</si>
  <si>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</si>
  <si>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</si>
  <si>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</si>
  <si>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</si>
  <si>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</si>
  <si>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</si>
  <si>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</si>
  <si>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</si>
  <si>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</si>
  <si>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</si>
  <si>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</si>
  <si>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</si>
  <si>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</si>
  <si>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</si>
  <si>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</si>
  <si>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</si>
  <si>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</si>
  <si>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</si>
  <si>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</si>
  <si>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</si>
  <si>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</si>
  <si>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</si>
  <si>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</si>
  <si>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Доля трафика по Similarweb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</si>
  <si>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</si>
  <si>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</si>
  <si>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</si>
  <si>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</si>
  <si>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</si>
  <si>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</si>
  <si>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выше средней</t>
  </si>
  <si>
    <t>высокая</t>
  </si>
  <si>
    <t>разная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</si>
  <si>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</si>
  <si>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</si>
  <si>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</si>
  <si>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</si>
  <si>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</si>
  <si>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</si>
  <si>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</si>
  <si>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</si>
  <si>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коммерческий</t>
  </si>
  <si>
    <t>включить</t>
  </si>
  <si>
    <t>проблемный</t>
  </si>
  <si>
    <t>инструментальный</t>
  </si>
  <si>
    <t>информационный</t>
  </si>
  <si>
    <t>Расчет объема рынка через цифровую воронку и сценарии</t>
  </si>
  <si>
    <t>Сценарные допущения</t>
  </si>
  <si>
    <t>Сценарий</t>
  </si>
  <si>
    <t>Конверсия в заявку</t>
  </si>
  <si>
    <t>Конверсия заявки в продажу</t>
  </si>
  <si>
    <t>Средний чек</t>
  </si>
  <si>
    <t>Покупок/клиента в год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</si>
  <si>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</si>
  <si>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</si>
  <si>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</si>
  <si>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</si>
  <si>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</si>
  <si>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</si>
  <si>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</si>
  <si>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</si>
  <si>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</si>
  <si>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</si>
  <si>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</si>
  <si>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</si>
  <si>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</si>
  <si>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</si>
  <si>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</si>
  <si>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Минимум</t>
  </si>
  <si>
    <t>База</t>
  </si>
  <si>
    <t>Максимум</t>
  </si>
  <si>
    <t>Единица</t>
  </si>
  <si>
    <t>руб./год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</si>
  <si>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</si>
  <si>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</si>
  <si>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</si>
  <si>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</si>
  <si>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</si>
  <si>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</si>
  <si>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</si>
  <si>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</si>
  <si>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</si>
  <si>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</si>
  <si>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</si>
  <si>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</si>
  <si>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</si>
  <si>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</si>
  <si>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</si>
  <si>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</si>
  <si>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</si>
  <si>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</si>
  <si>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</si>
  <si>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</si>
  <si>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</si>
  <si>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</si>
  <si>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</si>
  <si>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</si>
  <si>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</si>
  <si>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</si>
  <si>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</si>
  <si>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</si>
  <si>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</si>
  <si>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</si>
  <si>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</si>
  <si>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</si>
  <si>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</si>
  <si>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</si>
  <si>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</si>
  <si>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</si>
  <si>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</si>
  <si>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</si>
  <si>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</si>
  <si>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</si>
  <si>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</si>
  <si>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</si>
  <si>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</si>
  <si>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</si>
  <si>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</si>
  <si>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</si>
  <si>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</si>
  <si>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</si>
  <si>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</si>
  <si>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</si>
  <si>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</si>
  <si>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</si>
  <si>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</si>
  <si>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</si>
  <si>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</si>
  <si>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</si>
  <si>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</si>
  <si>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</si>
  <si>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</si>
  <si>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</si>
  <si>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</si>
  <si>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</si>
  <si>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</si>
  <si>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Веб-инструменты построения и проверки диаграмм формальных нотаций (UML, BPMN, ERD, IDEF, DFD) для студентов и специалистов по ПО</t>
  </si>
  <si>
    <t>последние 3 месяца (июнь–август 2026); требование М1 «не менее 12 мес.» при бесплатном доступе невыполнимо</t>
  </si>
  <si>
    <t>plantuml.com</t>
  </si>
  <si>
    <t>PlantUML</t>
  </si>
  <si>
    <t>диаграммы по тексту</t>
  </si>
  <si>
    <t>app.diagrams.net</t>
  </si>
  <si>
    <t>draw.io (diagrams.net)</t>
  </si>
  <si>
    <t>визуальные редакторы</t>
  </si>
  <si>
    <t>eraser.io</t>
  </si>
  <si>
    <t>Eraser</t>
  </si>
  <si>
    <t>mermaidchart.com</t>
  </si>
  <si>
    <t>Mermaid Chart</t>
  </si>
  <si>
    <t>Минск (город)</t>
  </si>
  <si>
    <t>Остальная Беларусь (включая областные центры)</t>
  </si>
  <si>
    <t>Разница; данных по областным центрам нет</t>
  </si>
  <si>
    <t>Россия (другие русскоязычные рынки)</t>
  </si>
  <si>
    <t>Similarweb, plantuml.com, август 2026: 9,07 % (факт); гипотеза расширения, вне итогового диапазона (В-6)</t>
  </si>
  <si>
    <t>Корректно (П-10): трафик до географического сужения × доля, мес.</t>
  </si>
  <si>
    <t>Корректно, год</t>
  </si>
  <si>
    <t>uml купить</t>
  </si>
  <si>
    <t>Яндекс Вордстат (РБ, Топы, 30 дней)</t>
  </si>
  <si>
    <t>S-02/S-03</t>
  </si>
  <si>
    <t>visio купить</t>
  </si>
  <si>
    <t>включить (конкурент)</t>
  </si>
  <si>
    <t>нейросеть схема</t>
  </si>
  <si>
    <t>все</t>
  </si>
  <si>
    <t>uml онлайн</t>
  </si>
  <si>
    <t>S-01/S-03</t>
  </si>
  <si>
    <t>plantuml online</t>
  </si>
  <si>
    <t>S-03</t>
  </si>
  <si>
    <t>idef0 как</t>
  </si>
  <si>
    <t>S-01</t>
  </si>
  <si>
    <t>uml</t>
  </si>
  <si>
    <t>Корректно (П-11): D × доля Organic</t>
  </si>
  <si>
    <t>Overview</t>
  </si>
  <si>
    <t>Total visits (август 2026)</t>
  </si>
  <si>
    <t>скриншот similarweb_traffic_plantuml.com_global_last3months_2026-09-30.png</t>
  </si>
  <si>
    <t>Global Rank</t>
  </si>
  <si>
    <t>ранг; Country Rank #24 334 (Россия); Category Rank #692</t>
  </si>
  <si>
    <t>Geography</t>
  </si>
  <si>
    <t>Доля России в трафике</t>
  </si>
  <si>
    <t>Беларусь в топ-5 стран не показана: нет данных в бесплатном доступе</t>
  </si>
  <si>
    <t>Marketing Channels</t>
  </si>
  <si>
    <t>Organic Search</t>
  </si>
  <si>
    <t>Engagement</t>
  </si>
  <si>
    <t>Pages/visit 3,18; Avg duration 00:03:16</t>
  </si>
  <si>
    <t>Total visits</t>
  </si>
  <si>
    <t>доступ закрыт</t>
  </si>
  <si>
    <t>mermaid.live</t>
  </si>
  <si>
    <t>лимит бесплатных просмотров</t>
  </si>
  <si>
    <t>lucidchart.com</t>
  </si>
  <si>
    <t>Концентрация цифрового трафика: CR3, CR5, HHI (дополнение к шаблону, Р-42; М1 §7.2, М2 §12)</t>
  </si>
  <si>
    <t>Визиты/мес. (сырые)</t>
  </si>
  <si>
    <t>Доля по сырым визитам (М1 ф. 2, SWБ §7)</t>
  </si>
  <si>
    <t>Доля² × 10 000 (сырые)</t>
  </si>
  <si>
    <t>Релевантные визиты (РБ)</t>
  </si>
  <si>
    <t>Доля по релевантным визитам (М2 §7)</t>
  </si>
  <si>
    <t>Доля² × 10 000 (релевантные)</t>
  </si>
  <si>
    <t>Сумма</t>
  </si>
  <si>
    <t>По сырым визитам</t>
  </si>
  <si>
    <t>По релевантным визитам</t>
  </si>
  <si>
    <t>CR3, %</t>
  </si>
  <si>
    <t>CR5, %</t>
  </si>
  <si>
    <t>HHI = Σ (доля в %)²</t>
  </si>
  <si>
    <t>Уровень по шкале М2 табл. 16</t>
  </si>
  <si>
    <t>Проверка: HHI ≥ CR3² / 3</t>
  </si>
  <si>
    <t>TAM / SAM / SOM цифрового внимания по М1 табл. 22 (базовый сценарий листа 06)</t>
  </si>
  <si>
    <t>Доля страны (Беларусь), допущение Д-01</t>
  </si>
  <si>
    <t>SAM по географии, визиты/мес. = TAM × доля страны</t>
  </si>
  <si>
    <t>Доля релевантных каналов (Organic Search, plantuml.com)</t>
  </si>
  <si>
    <t>Достижимая доля (базовая, лист 06)</t>
  </si>
  <si>
    <t>SOM по трафику, визиты/мес. = SAM × достижимая доля</t>
  </si>
  <si>
    <t>CR1 (лист 06, базовый)</t>
  </si>
  <si>
    <t>CR2 (лист 06, базовый)</t>
  </si>
  <si>
    <t>Средний чек, BYN (лист 06)</t>
  </si>
  <si>
    <t>Число покупок в год</t>
  </si>
  <si>
    <t>SOM по выручке, BYN/год = SOM по трафику × 12 × CR1 × CR2 × чек × число покупок</t>
  </si>
  <si>
    <t>Проверка конкурентами: средняя выручка конкурента (при параметрах NotaCode), BYN/год</t>
  </si>
  <si>
    <t>Число активных конкурентов в выборке</t>
  </si>
  <si>
    <t>Проверка конкурентами: сумма, BYN/год</t>
  </si>
  <si>
    <t>V_sample: визиты выборки, мес. (Σ)</t>
  </si>
  <si>
    <t>М2 табл. 8</t>
  </si>
  <si>
    <t>Доля географии (РБ), Д-01</t>
  </si>
  <si>
    <t>V_geo = V_sample × доля географии</t>
  </si>
  <si>
    <t>Коэффициент охвата выборки</t>
  </si>
  <si>
    <t>М2 табл. 21 (шкала табл. 9: 0,40–0,55 / 0,60–0,75 / 0,80–0,90)</t>
  </si>
  <si>
    <t>V_total = V_geo / охват</t>
  </si>
  <si>
    <t>Коммерчески релевантная доля</t>
  </si>
  <si>
    <t>М2 табл. 21</t>
  </si>
  <si>
    <t>Коммерчески релевантные визиты, мес.</t>
  </si>
  <si>
    <t>CR1 (визит → заявка)</t>
  </si>
  <si>
    <t>середины диапазонов М2 табл. 11</t>
  </si>
  <si>
    <t>CR2 (заявка → оплата Pro)</t>
  </si>
  <si>
    <t>допущение проекта Free → Pro 3–5 % (шкала М2 5–40 % для freemium неприменима)</t>
  </si>
  <si>
    <t>Средний чек, BYN/год</t>
  </si>
  <si>
    <t>М2: × 12 (в SW-X: × 12 × покупок)</t>
  </si>
  <si>
    <t>Достижимая доля (SOM)</t>
  </si>
  <si>
    <t>как в листе 06</t>
  </si>
  <si>
    <t>SOM, BYN/год</t>
  </si>
  <si>
    <t>нет данных</t>
  </si>
  <si>
    <t>Доля релевантного трафика (Д-02)</t>
  </si>
  <si>
    <t>Вордстат, plantuml: Минск 124 из 170 запросов РБ (73 %), окно 29.08–27.09.2026</t>
  </si>
  <si>
    <t>40 у.е./год (осторожный, базовый); медиана входных тарифов конкурентов</t>
  </si>
  <si>
    <t>Значение шаблона (базовый сценарий листа 06 – 0,7); шкала М2 табл. 9 для типовой ситуации 0,60–0,75</t>
  </si>
  <si>
    <t>Основная география (В-6). Доля – допущение Д-01</t>
  </si>
  <si>
    <t>Частотность 5 запр./мес.; доля – среди перечисленных запросов (Similarweb долей запросов в бесплатном доступе не показывает)</t>
  </si>
  <si>
    <t>Частотность 7 запр./мес.; доля – среди перечисленных запросов (Similarweb долей запросов в бесплатном доступе не показывает)</t>
  </si>
  <si>
    <t>Частотность 76 запр./мес.; доля – среди перечисленных запросов (Similarweb долей запросов в бесплатном доступе не показывает)</t>
  </si>
  <si>
    <t>Частотность 28 запр./мес.; доля – среди перечисленных запросов (Similarweb долей запросов в бесплатном доступе не показывает)</t>
  </si>
  <si>
    <t>Частотность 14 запр./мес.; доля – среди перечисленных запросов (Similarweb долей запросов в бесплатном доступе не показывает)</t>
  </si>
  <si>
    <t>Частотность 11 запр./мес.; доля – среди перечисленных запросов (Similarweb долей запросов в бесплатном доступе не показывает)</t>
  </si>
  <si>
    <t>Частотность 591 запр./мес.; доля – среди перечисленных запросов (Similarweb долей запросов в бесплатном доступе не показывает)</t>
  </si>
  <si>
    <t>29.09.2026</t>
  </si>
  <si>
    <t>Direct и Referrals – 2-е и 3-е места без долей</t>
  </si>
  <si>
    <t>лимит бесплатных просмотров (скриншот ...global_limit_2026-09-30.png); значение 7,8 млн – из выгрузки ЛР1</t>
  </si>
  <si>
    <t>TAM цифрового внимания: суммарный трафик релевантных сайтов категории, визиты/мес</t>
  </si>
  <si>
    <t>SAM по каналу, визиты/мес</t>
  </si>
  <si>
    <t>Канальный SAM рассчитан по доле Organic одного домена (plantuml.com) – остальные доли в бесплатном доступе не показаны. Проверка поиском – лист 05_Запросы</t>
  </si>
  <si>
    <t>Исправлено в рабочей копии (П-1): суммирование с 4-й строки; в шаблоне диапазон G5:G24 терял первого конкурента</t>
  </si>
  <si>
    <t>Исправлено (П-1): H4:H23</t>
  </si>
  <si>
    <t>ФАКТ (Similarweb, авг. 2026, скриншот).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</si>
  <si>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Каналы: у plantuml.com показана только доля Organic Search 48,47 %; Direct и Referrals названы 2-м и 3-м без долей, Social, Paid, Mail, Display бесплатная карточка не показывает. Средневзвешенные доли каналов (строка 25) в копии считаются только по строкам, где доля показана (П-18)</t>
  </si>
  <si>
    <t>Показан только Organic (plantuml.com); остальные доли – «нет данных в бесплатном доступе»; приоритет по каналам, кроме Organic, не определяется</t>
  </si>
  <si>
    <t>В шаблоне (столбцы C, D) доля умножается на B12 – трафик, уже суженный до Беларуси (П-10); корректный вариант – столбцы I, J</t>
  </si>
  <si>
    <t>Столбец D в шаблоне = доля × трафик всего рынка (П-11), что вероятно завышает поисковую часть; в столбце K – умножение на долю Organic (48,47 %, plantuml.com). Веса намерений SW-X (проблемный 0,6–0,8, информационный 0,1) отличаются от ПС табл. 9 (проблемный 0,30–0,60) – Р-44</t>
  </si>
  <si>
    <t>Оценка рынка: посещения/мес</t>
  </si>
  <si>
    <t>Заказов/мес</t>
  </si>
  <si>
    <t>Выручка/мес</t>
  </si>
  <si>
    <t>Оценочный цифровой объем рынка за год определяется как диапазон между осторожным и оптимистичным сценариями</t>
  </si>
  <si>
    <t>Наблюдаемый трафик/мес</t>
  </si>
  <si>
    <t>Оценка трафика рынка/мес</t>
  </si>
  <si>
    <t>Трафик/мес</t>
  </si>
  <si>
    <t>лимит бесплатных просмотров; не собрано: Similarweb, страница lucidchart.com, снимок экрана (вручную, по странице источника; табл. 91, п. 1)</t>
  </si>
  <si>
    <t>Вариант по М2 (табл. 9, 11, 21): охват 0,45 / 0,65 / 0,85; коммерчески релевантная доля 20 / 35 / 50 %; годовой объем = месячный × 12</t>
  </si>
  <si>
    <t>Осторожный сценарий дает БОЛЬШЕ трафика (W-15)</t>
  </si>
  <si>
    <t>Месячный объем, BYN</t>
  </si>
  <si>
    <t>Годовой объем, BYN (× 12, М2)</t>
  </si>
  <si>
    <t>Релевантные визиты с учетом Д-02</t>
  </si>
  <si>
    <t>Доля по визитам с учетом Д-02</t>
  </si>
  <si>
    <t>Доля² × 10 000 (с учетом Д-02)</t>
  </si>
  <si>
    <t>С учетом доли релевантного (Д-02)</t>
  </si>
  <si>
    <t>Пояснения: шкала М2 табл. 16 – до 1 500 низкая, 1 500–2 500 умеренная, выше 2 500 высокая; М1 табл. 10 задает три качественных уровня без чисел. Значения – оценка концентрации ЦИФРОВОГО ТРАФИКА выборки из 4 доменов (не выручки и не рыночной власти); CR5 при 4 доменах равен 100 %. Выборка меньше минимума М2 (5 доменов) и состоит из доменов разных типов; доминирует универсальный редактор draw.io</t>
  </si>
  <si>
    <t>отчет ЛР1, без скриншота.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</si>
  <si>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предварительный замер 17–23.09.2026, не подтвержден.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</si>
  <si>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предварительный замер: «менее 20 тыс.» (верхняя граница), не подтвержден.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</si>
  <si>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исключить (не подтверждает платежеспособный спрос)</t>
  </si>
  <si>
    <t>Значения eraser.io (678,5 тыс.), app.diagrams.net (7,8 млн), mermaidchart.com (&lt; 20 тыс.) указаны без скриншота (app.diagrams.net – по отчету ЛР1, остальные – предварительный замер 17–23.09.2026); повторный замер 30.09.2026 невозможен (лимит). не собрано минимум еще 6 доменов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</si>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</sst>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3" fillId="5" borderId="0" xfId="1" applyNumberFormat="1" applyFont="1" applyFill="1" applyAlignment="1">
      <alignment horizontal="left" vertical="top" wrapText="1"/>
    </xf>
    <xf numFmtId="166" fontId="3" fillId="5" borderId="0" xfId="1" applyNumberFormat="1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5" fillId="0" borderId="0" xfId="1" applyFont="1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3" fontId="0" fillId="0" borderId="0" xfId="1" applyNumberFormat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21" fontId="0" fillId="0" borderId="0" xfId="0" applyNumberFormat="1" applyAlignment="1">
      <alignment vertical="top" wrapText="1"/>
    </xf>
    <xf numFmtId="167" fontId="0" fillId="0" borderId="0" xfId="1" applyNumberFormat="1" applyFont="1" applyAlignment="1">
      <alignment vertical="top" wrapText="1"/>
    </xf>
    <xf numFmtId="0" fontId="3" fillId="6" borderId="0" xfId="1" applyFont="1" applyFill="1" applyAlignment="1">
      <alignment horizontal="left" vertical="top" wrapText="1"/>
    </xf>
    <xf numFmtId="0" fontId="0" fillId="7" borderId="0" xfId="1" applyFont="1" applyFill="1" applyAlignment="1">
      <alignment horizontal="left" vertical="top" wrapText="1"/>
    </xf>
    <xf numFmtId="3" fontId="0" fillId="7" borderId="0" xfId="1" applyNumberFormat="1" applyFont="1" applyFill="1" applyAlignment="1">
      <alignment horizontal="left" vertical="top" wrapText="1"/>
    </xf>
    <xf numFmtId="3" fontId="3" fillId="6" borderId="0" xfId="1" applyNumberFormat="1" applyFont="1" applyFill="1" applyAlignment="1">
      <alignment horizontal="left" vertical="top" wrapText="1"/>
    </xf>
    <xf numFmtId="167" fontId="0" fillId="7" borderId="0" xfId="1" applyNumberFormat="1" applyFont="1" applyFill="1" applyAlignment="1">
      <alignment horizontal="left" vertical="top" wrapText="1"/>
    </xf>
    <xf numFmtId="167" fontId="3" fillId="6" borderId="0" xfId="1" applyNumberFormat="1" applyFont="1" applyFill="1" applyAlignment="1">
      <alignment horizontal="left" vertical="top" wrapText="1"/>
    </xf>
    <xf numFmtId="165" fontId="0" fillId="7" borderId="0" xfId="1" applyNumberFormat="1" applyFont="1" applyFill="1" applyAlignment="1">
      <alignment horizontal="left" vertical="top" wrapText="1"/>
    </xf>
    <xf numFmtId="49" fontId="0" fillId="0" borderId="0" xfId="1" applyNumberFormat="1" applyFont="1" applyAlignment="1">
      <alignment vertical="top" wrapText="1"/>
    </xf>
    <xf numFmtId="22" fontId="0" fillId="0" borderId="0" xfId="0" applyNumberFormat="1" applyAlignment="1">
      <alignment vertical="top" wrapText="1"/>
    </xf>
    <xf numFmtId="0" fontId="4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18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#,##0\ \₽</c:formatCode>
                <c:ptCount val="3"/>
                <c:pt idx="0">
                  <c:v>7689.7210919760009</c:v>
                </c:pt>
                <c:pt idx="1">
                  <c:v>21970.631691360002</c:v>
                </c:pt>
                <c:pt idx="2">
                  <c:v>139815.03433800003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B-4CDF-95E5-588641C38F05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#,##0\ \₽</c:formatCode>
                <c:ptCount val="3"/>
                <c:pt idx="0">
                  <c:v>38.448605459880007</c:v>
                </c:pt>
                <c:pt idx="1">
                  <c:v>329.55947537040004</c:v>
                </c:pt>
                <c:pt idx="2">
                  <c:v>4893.5262018300018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B-4CDF-95E5-588641C3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</c:v>
                </c:pt>
                <c:pt idx="1">
                  <c:v>0.48469999999999996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2-4D7F-B552-94DC0D3A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 headerRowDxfId="117" dataDxfId="116" totalsRowDxfId="115">
  <tableColumns count="8">
    <tableColumn id="1" xr3:uid="{00000000-0010-0000-0000-000001000000}" name="Блок" dataDxfId="114"/>
    <tableColumn id="2" xr3:uid="{00000000-0010-0000-0000-000002000000}" name="Цель" dataDxfId="113"/>
    <tableColumn id="3" xr3:uid="{00000000-0010-0000-0000-000003000000}" name="Действие" dataDxfId="112"/>
    <tableColumn id="4" xr3:uid="{00000000-0010-0000-0000-000004000000}" name="Что фиксировать" dataDxfId="111"/>
    <tableColumn id="5" xr3:uid="{00000000-0010-0000-0000-000005000000}" name="Расчетный результат" dataDxfId="110"/>
    <tableColumn id="6" xr3:uid="{00000000-0010-0000-0000-000006000000}" name="Ограничения" dataDxfId="109"/>
    <tableColumn id="7" xr3:uid="{00000000-0010-0000-0000-000007000000}" name="Лист Excel" dataDxfId="108"/>
    <tableColumn id="8" xr3:uid="{00000000-0010-0000-0000-000008000000}" name="Выходной вывод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 headerRowDxfId="106" dataDxfId="105" totalsRowDxfId="104">
  <tableColumns count="4">
    <tableColumn id="1" xr3:uid="{00000000-0010-0000-0100-000001000000}" name="Параметр" dataDxfId="103"/>
    <tableColumn id="2" xr3:uid="{00000000-0010-0000-0100-000002000000}" name="Значение" dataDxfId="102"/>
    <tableColumn id="3" xr3:uid="{00000000-0010-0000-0100-000003000000}" name="Единица / формат" dataDxfId="101"/>
    <tableColumn id="4" xr3:uid="{00000000-0010-0000-0100-000004000000}" name="Комментарий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7" headerRowDxfId="99" dataDxfId="98" totalsRowDxfId="97">
  <tableColumns count="19">
    <tableColumn id="1" xr3:uid="{00000000-0010-0000-0200-000001000000}" name="Домен" dataDxfId="96"/>
    <tableColumn id="2" xr3:uid="{00000000-0010-0000-0200-000002000000}" name="Название / конкурент" dataDxfId="95"/>
    <tableColumn id="3" xr3:uid="{00000000-0010-0000-0200-000003000000}" name="Сегмент" dataDxfId="94"/>
    <tableColumn id="4" xr3:uid="{00000000-0010-0000-0200-000004000000}" name="Тип" dataDxfId="93"/>
    <tableColumn id="5" xr3:uid="{00000000-0010-0000-0200-000005000000}" name="Monthly visits" dataDxfId="92"/>
    <tableColumn id="6" xr3:uid="{00000000-0010-0000-0200-000006000000}" name="Доля выбранной географии" dataDxfId="91"/>
    <tableColumn id="7" xr3:uid="{00000000-0010-0000-0200-000007000000}" name="Релевантный трафик, мес." dataDxfId="90"/>
    <tableColumn id="8" xr3:uid="{00000000-0010-0000-0200-000008000000}" name="Релевантный трафик, год" dataDxfId="89"/>
    <tableColumn id="9" xr3:uid="{00000000-0010-0000-0200-000009000000}" name="Доля рынка по трафику" dataDxfId="88"/>
    <tableColumn id="10" xr3:uid="{00000000-0010-0000-0200-00000A000000}" name="Bounce rate" dataDxfId="87"/>
    <tableColumn id="11" xr3:uid="{00000000-0010-0000-0200-00000B000000}" name="Pages / visit" dataDxfId="86"/>
    <tableColumn id="12" xr3:uid="{00000000-0010-0000-0200-00000C000000}" name="Avg duration" dataDxfId="85"/>
    <tableColumn id="13" xr3:uid="{00000000-0010-0000-0200-00000D000000}" name="Direct" dataDxfId="84"/>
    <tableColumn id="14" xr3:uid="{00000000-0010-0000-0200-00000E000000}" name="Organic search" dataDxfId="83"/>
    <tableColumn id="15" xr3:uid="{00000000-0010-0000-0200-00000F000000}" name="Referral" dataDxfId="82"/>
    <tableColumn id="16" xr3:uid="{00000000-0010-0000-0200-000010000000}" name="Social" dataDxfId="81"/>
    <tableColumn id="17" xr3:uid="{00000000-0010-0000-0200-000011000000}" name="Paid search" dataDxfId="80"/>
    <tableColumn id="18" xr3:uid="{00000000-0010-0000-0200-000012000000}" name="Display" dataDxfId="79"/>
    <tableColumn id="19" xr3:uid="{00000000-0010-0000-0200-000013000000}" name="Комментарий" dataDxfId="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 headerRowDxfId="77" dataDxfId="76" totalsRowDxfId="75">
  <tableColumns count="8">
    <tableColumn id="1" xr3:uid="{00000000-0010-0000-0300-000001000000}" name="Канал" dataDxfId="74"/>
    <tableColumn id="2" xr3:uid="{00000000-0010-0000-0300-000002000000}" name="Средневзвешенная доля" dataDxfId="73"/>
    <tableColumn id="3" xr3:uid="{00000000-0010-0000-0300-000003000000}" name="Оценка рыночного трафика, мес." dataDxfId="72"/>
    <tableColumn id="4" xr3:uid="{00000000-0010-0000-0300-000004000000}" name="Оценка рыночного трафика, год" dataDxfId="71"/>
    <tableColumn id="5" xr3:uid="{00000000-0010-0000-0300-000005000000}" name="Коммерческая интерпретация" dataDxfId="70"/>
    <tableColumn id="6" xr3:uid="{00000000-0010-0000-0300-000006000000}" name="Что проверить дополнительно" dataDxfId="69"/>
    <tableColumn id="7" xr3:uid="{00000000-0010-0000-0300-000007000000}" name="Ограничение" dataDxfId="68"/>
    <tableColumn id="8" xr3:uid="{00000000-0010-0000-0300-000008000000}" name="Приоритет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J7" headerRowDxfId="66" dataDxfId="65" totalsRowDxfId="64">
  <tableColumns count="10">
    <tableColumn id="1" xr3:uid="{00000000-0010-0000-0400-000001000000}" name="Страна / регион" dataDxfId="63"/>
    <tableColumn id="2" xr3:uid="{00000000-0010-0000-0400-000002000000}" name="Доля трафика по Similarweb" dataDxfId="62"/>
    <tableColumn id="3" xr3:uid="{00000000-0010-0000-0400-000003000000}" name="Оценка месячного трафика рынка" dataDxfId="61"/>
    <tableColumn id="4" xr3:uid="{00000000-0010-0000-0400-000004000000}" name="Оценка годового трафика рынка" dataDxfId="60"/>
    <tableColumn id="5" xr3:uid="{00000000-0010-0000-0400-000005000000}" name="Платежеспособность / доступность" dataDxfId="59"/>
    <tableColumn id="6" xr3:uid="{00000000-0010-0000-0400-000006000000}" name="Конкурентная плотность" dataDxfId="58"/>
    <tableColumn id="7" xr3:uid="{00000000-0010-0000-0400-000007000000}" name="Приоритет рынка" dataDxfId="57"/>
    <tableColumn id="8" xr3:uid="{00000000-0010-0000-0400-000008000000}" name="Комментарий" dataDxfId="56"/>
    <tableColumn id="9" xr3:uid="{1337DBB3-2CD6-46A5-A6D0-094C450E4966}" name="Корректно (П-10): трафик до географического сужения × доля, мес." dataDxfId="55">
      <calculatedColumnFormula>B4*SUM('02_Конкуренты_SW'!$E$4:$E$7)/'01_Параметры'!$B$11</calculatedColumnFormula>
    </tableColumn>
    <tableColumn id="10" xr3:uid="{B4FC5B94-FDE6-4FD0-B178-BDFA64EF7463}" name="Корректно, год" dataDxfId="54">
      <calculatedColumnFormula>I4*12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K10" headerRowDxfId="53" dataDxfId="52" totalsRowDxfId="51">
  <tableColumns count="11">
    <tableColumn id="1" xr3:uid="{00000000-0010-0000-0500-000001000000}" name="Запрос / ключевая фраза" dataDxfId="50"/>
    <tableColumn id="2" xr3:uid="{00000000-0010-0000-0500-000002000000}" name="Источник" dataDxfId="49"/>
    <tableColumn id="3" xr3:uid="{00000000-0010-0000-0500-000003000000}" name="Доля поискового трафика" dataDxfId="48"/>
    <tableColumn id="4" xr3:uid="{00000000-0010-0000-0500-000004000000}" name="Оценочный месячный трафик" dataDxfId="47"/>
    <tableColumn id="5" xr3:uid="{00000000-0010-0000-0500-000005000000}" name="Тип намерения" dataDxfId="46"/>
    <tableColumn id="6" xr3:uid="{00000000-0010-0000-0500-000006000000}" name="Коммерческий вес" dataDxfId="45"/>
    <tableColumn id="7" xr3:uid="{00000000-0010-0000-0500-000007000000}" name="Индекс коммерческого интереса" dataDxfId="44"/>
    <tableColumn id="8" xr3:uid="{00000000-0010-0000-0500-000008000000}" name="Сегмент" dataDxfId="43"/>
    <tableColumn id="9" xr3:uid="{00000000-0010-0000-0500-000009000000}" name="Решение" dataDxfId="42"/>
    <tableColumn id="10" xr3:uid="{00000000-0010-0000-0500-00000A000000}" name="Комментарий" dataDxfId="41"/>
    <tableColumn id="11" xr3:uid="{DD35E0E1-2F99-41E5-A862-409AE7808D03}" name="Корректно (П-11): D × доля Organic" dataDxfId="40">
      <calculatedColumnFormula>D4*'03_Каналы'!$B$5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 headerRowDxfId="39" dataDxfId="38" totalsRowDxfId="37">
  <tableColumns count="10">
    <tableColumn id="1" xr3:uid="{00000000-0010-0000-0600-000001000000}" name="Сценарий" dataDxfId="36"/>
    <tableColumn id="2" xr3:uid="{00000000-0010-0000-0600-000002000000}" name="Коэффициент покрытия конкурентов" dataDxfId="35"/>
    <tableColumn id="3" xr3:uid="{00000000-0010-0000-0600-000003000000}" name="Оценка рынка: посещения/мес" dataDxfId="34"/>
    <tableColumn id="4" xr3:uid="{00000000-0010-0000-0600-000004000000}" name="Конверсия в заявку" dataDxfId="33"/>
    <tableColumn id="5" xr3:uid="{00000000-0010-0000-0600-000005000000}" name="Конверсия заявки в продажу" dataDxfId="32"/>
    <tableColumn id="6" xr3:uid="{00000000-0010-0000-0600-000006000000}" name="Средний чек" dataDxfId="31"/>
    <tableColumn id="7" xr3:uid="{00000000-0010-0000-0600-000007000000}" name="Покупок/клиента в год" dataDxfId="30"/>
    <tableColumn id="8" xr3:uid="{00000000-0010-0000-0600-000008000000}" name="Заказов/мес" dataDxfId="29"/>
    <tableColumn id="9" xr3:uid="{00000000-0010-0000-0600-000009000000}" name="Выручка/мес" dataDxfId="28"/>
    <tableColumn id="10" xr3:uid="{00000000-0010-0000-0600-00000A000000}" name="Выручка/год" dataDxfId="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 headerRowDxfId="26" dataDxfId="25" totalsRowDxfId="24">
  <tableColumns count="6">
    <tableColumn id="1" xr3:uid="{00000000-0010-0000-0700-000001000000}" name="Сценарий" dataDxfId="23"/>
    <tableColumn id="2" xr3:uid="{00000000-0010-0000-0700-000002000000}" name="Рыночная выручка/год" dataDxfId="22"/>
    <tableColumn id="3" xr3:uid="{00000000-0010-0000-0700-000003000000}" name="Достижимая доля нового бизнеса" dataDxfId="21"/>
    <tableColumn id="4" xr3:uid="{00000000-0010-0000-0700-000004000000}" name="Потенциальная выручка нового бизнеса/год" dataDxfId="20"/>
    <tableColumn id="5" xr3:uid="{00000000-0010-0000-0700-000005000000}" name="Комментарий" dataDxfId="19"/>
    <tableColumn id="6" xr3:uid="{00000000-0010-0000-0700-000006000000}" name="Ограничение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 headerRowDxfId="17" dataDxfId="16" totalsRowDxfId="15">
  <tableColumns count="6">
    <tableColumn id="1" xr3:uid="{00000000-0010-0000-0800-000001000000}" name="Источник" dataDxfId="14"/>
    <tableColumn id="2" xr3:uid="{00000000-0010-0000-0800-000002000000}" name="Что брать" dataDxfId="13"/>
    <tableColumn id="3" xr3:uid="{00000000-0010-0000-0800-000003000000}" name="Как фиксировать" dataDxfId="12"/>
    <tableColumn id="4" xr3:uid="{00000000-0010-0000-0800-000004000000}" name="Ссылка" dataDxfId="11"/>
    <tableColumn id="5" xr3:uid="{00000000-0010-0000-0800-000005000000}" name="Дата обращения" dataDxfId="10"/>
    <tableColumn id="6" xr3:uid="{00000000-0010-0000-0800-000006000000}" name="Ограничение" dataDxf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21" headerRowDxfId="8" dataDxfId="7" totalsRowDxfId="6">
  <tableColumns count="6">
    <tableColumn id="1" xr3:uid="{00000000-0010-0000-0900-000001000000}" name="Дата" dataDxfId="5"/>
    <tableColumn id="2" xr3:uid="{00000000-0010-0000-0900-000002000000}" name="Сайт / домен" dataDxfId="4"/>
    <tableColumn id="3" xr3:uid="{00000000-0010-0000-0900-000003000000}" name="Раздел Similarweb" dataDxfId="3"/>
    <tableColumn id="4" xr3:uid="{00000000-0010-0000-0900-000004000000}" name="Показатель" dataDxfId="2"/>
    <tableColumn id="5" xr3:uid="{00000000-0010-0000-0900-000005000000}" name="Значение" dataDxfId="1"/>
    <tableColumn id="6" xr3:uid="{00000000-0010-0000-0900-000006000000}" name="Комментарий / снимок экра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5EEF-DE88-46F6-9D76-97C5CED46B8B}">
  <dimension ref="A1:E17"/>
  <sheetViews>
    <sheetView tabSelected="1" workbookViewId="0"/>
  </sheetViews>
  <sheetFormatPr defaultRowHeight="14.25"/>
  <cols>
    <col min="1" max="1" width="60.625" customWidth="1"/>
    <col min="2" max="4" width="22.625" customWidth="1"/>
    <col min="5" max="5" width="55.625" customWidth="1"/>
    <col min="6" max="7" width="22.625" customWidth="1"/>
  </cols>
  <sheetData>
    <row r="1" spans="1:5" ht="28.5">
      <c r="A1" s="5" t="s">
        <v>428</v>
      </c>
      <c r="B1" s="5"/>
      <c r="C1" s="5"/>
      <c r="D1" s="5"/>
      <c r="E1" s="5"/>
    </row>
    <row r="2" spans="1:5">
      <c r="A2" s="5"/>
      <c r="B2" s="5"/>
      <c r="C2" s="5"/>
      <c r="D2" s="5"/>
      <c r="E2" s="5"/>
    </row>
    <row r="3" spans="1:5">
      <c r="A3" s="5" t="s">
        <v>293</v>
      </c>
      <c r="B3" s="5" t="s">
        <v>213</v>
      </c>
      <c r="C3" s="5" t="s">
        <v>214</v>
      </c>
      <c r="D3" s="5" t="s">
        <v>215</v>
      </c>
      <c r="E3" s="5" t="s">
        <v>97</v>
      </c>
    </row>
    <row r="4" spans="1:5">
      <c r="A4" s="5" t="s">
        <v>375</v>
      </c>
      <c r="B4" s="6">
        <f>SUM('02_Конкуренты_SW'!E4:E7)</f>
        <v>9005500</v>
      </c>
      <c r="C4" s="6">
        <f>SUM('02_Конкуренты_SW'!E4:E7)</f>
        <v>9005500</v>
      </c>
      <c r="D4" s="6">
        <f>SUM('02_Конкуренты_SW'!E4:E7)</f>
        <v>9005500</v>
      </c>
      <c r="E4" s="5" t="s">
        <v>376</v>
      </c>
    </row>
    <row r="5" spans="1:5">
      <c r="A5" s="5" t="s">
        <v>377</v>
      </c>
      <c r="B5" s="7">
        <f>'02_Конкуренты_SW'!F4</f>
        <v>1.9580000000000001E-3</v>
      </c>
      <c r="C5" s="7">
        <f>'02_Конкуренты_SW'!F4</f>
        <v>1.9580000000000001E-3</v>
      </c>
      <c r="D5" s="7">
        <f>'02_Конкуренты_SW'!F4</f>
        <v>1.9580000000000001E-3</v>
      </c>
      <c r="E5" s="5"/>
    </row>
    <row r="6" spans="1:5">
      <c r="A6" s="5" t="s">
        <v>378</v>
      </c>
      <c r="B6" s="5">
        <f>B4*B5</f>
        <v>17632.769</v>
      </c>
      <c r="C6" s="5">
        <f>C4*C5</f>
        <v>17632.769</v>
      </c>
      <c r="D6" s="5">
        <f>D4*D5</f>
        <v>17632.769</v>
      </c>
      <c r="E6" s="5"/>
    </row>
    <row r="7" spans="1:5">
      <c r="A7" s="5" t="s">
        <v>379</v>
      </c>
      <c r="B7" s="5">
        <v>0.45</v>
      </c>
      <c r="C7" s="5">
        <v>0.65</v>
      </c>
      <c r="D7" s="5">
        <v>0.85</v>
      </c>
      <c r="E7" s="5" t="s">
        <v>380</v>
      </c>
    </row>
    <row r="8" spans="1:5">
      <c r="A8" s="5" t="s">
        <v>381</v>
      </c>
      <c r="B8" s="5">
        <f>B6/B7</f>
        <v>39183.931111111109</v>
      </c>
      <c r="C8" s="5">
        <f>C6/C7</f>
        <v>27127.336923076924</v>
      </c>
      <c r="D8" s="5">
        <f>D6/D7</f>
        <v>20744.434117647059</v>
      </c>
      <c r="E8" s="5" t="s">
        <v>429</v>
      </c>
    </row>
    <row r="9" spans="1:5">
      <c r="A9" s="5" t="s">
        <v>382</v>
      </c>
      <c r="B9" s="5">
        <v>0.2</v>
      </c>
      <c r="C9" s="5">
        <v>0.35</v>
      </c>
      <c r="D9" s="5">
        <v>0.5</v>
      </c>
      <c r="E9" s="5" t="s">
        <v>383</v>
      </c>
    </row>
    <row r="10" spans="1:5">
      <c r="A10" s="5" t="s">
        <v>384</v>
      </c>
      <c r="B10" s="5">
        <f>B8*B9</f>
        <v>7836.786222222222</v>
      </c>
      <c r="C10" s="5">
        <f>C8*C9</f>
        <v>9494.5679230769219</v>
      </c>
      <c r="D10" s="5">
        <f>D8*D9</f>
        <v>10372.217058823529</v>
      </c>
      <c r="E10" s="5"/>
    </row>
    <row r="11" spans="1:5">
      <c r="A11" s="5" t="s">
        <v>385</v>
      </c>
      <c r="B11" s="5">
        <v>3.5000000000000001E-3</v>
      </c>
      <c r="C11" s="5">
        <v>0.01</v>
      </c>
      <c r="D11" s="5">
        <v>2.2499999999999999E-2</v>
      </c>
      <c r="E11" s="5" t="s">
        <v>386</v>
      </c>
    </row>
    <row r="12" spans="1:5" ht="28.5">
      <c r="A12" s="5" t="s">
        <v>387</v>
      </c>
      <c r="B12" s="5">
        <v>0.03</v>
      </c>
      <c r="C12" s="5">
        <v>0.04</v>
      </c>
      <c r="D12" s="5">
        <v>0.05</v>
      </c>
      <c r="E12" s="5" t="s">
        <v>388</v>
      </c>
    </row>
    <row r="13" spans="1:5" ht="28.5">
      <c r="A13" s="5" t="s">
        <v>389</v>
      </c>
      <c r="B13" s="5">
        <v>121.14</v>
      </c>
      <c r="C13" s="5">
        <v>121.14</v>
      </c>
      <c r="D13" s="5">
        <v>290.74</v>
      </c>
      <c r="E13" s="5" t="s">
        <v>397</v>
      </c>
    </row>
    <row r="14" spans="1:5">
      <c r="A14" s="5" t="s">
        <v>430</v>
      </c>
      <c r="B14" s="5">
        <f>B10*B11*B12*B13</f>
        <v>99.681569710799991</v>
      </c>
      <c r="C14" s="5">
        <f>C10*C11*C12*C13</f>
        <v>460.06878328061532</v>
      </c>
      <c r="D14" s="5">
        <f>D10*D11*D12*D13</f>
        <v>3392.5706861426474</v>
      </c>
      <c r="E14" s="5"/>
    </row>
    <row r="15" spans="1:5">
      <c r="A15" s="5" t="s">
        <v>431</v>
      </c>
      <c r="B15" s="5">
        <f>B14*12</f>
        <v>1196.1788365295999</v>
      </c>
      <c r="C15" s="5">
        <f>C14*12</f>
        <v>5520.8253993673843</v>
      </c>
      <c r="D15" s="5">
        <f>D14*12</f>
        <v>40710.848233711768</v>
      </c>
      <c r="E15" s="5" t="s">
        <v>390</v>
      </c>
    </row>
    <row r="16" spans="1:5">
      <c r="A16" s="5" t="s">
        <v>391</v>
      </c>
      <c r="B16" s="5">
        <v>5.0000000000000001E-3</v>
      </c>
      <c r="C16" s="5">
        <v>1.4999999999999999E-2</v>
      </c>
      <c r="D16" s="5">
        <v>3.5000000000000003E-2</v>
      </c>
      <c r="E16" s="5" t="s">
        <v>392</v>
      </c>
    </row>
    <row r="17" spans="1:5">
      <c r="A17" s="5" t="s">
        <v>393</v>
      </c>
      <c r="B17" s="5">
        <f>B15*B16</f>
        <v>5.980894182648</v>
      </c>
      <c r="C17" s="5">
        <f>C15*C16</f>
        <v>82.812380990510761</v>
      </c>
      <c r="D17" s="5">
        <f>D15*D16</f>
        <v>1424.8796881799119</v>
      </c>
      <c r="E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DE7C-5FA1-468F-BF79-286D4C5B0382}">
  <dimension ref="A1:B20"/>
  <sheetViews>
    <sheetView workbookViewId="0"/>
  </sheetViews>
  <sheetFormatPr defaultRowHeight="14.25"/>
  <cols>
    <col min="1" max="1" width="60.625" customWidth="1"/>
    <col min="2" max="7" width="22.625" customWidth="1"/>
  </cols>
  <sheetData>
    <row r="1" spans="1:2" ht="28.5">
      <c r="A1" s="5" t="s">
        <v>361</v>
      </c>
      <c r="B1" s="5"/>
    </row>
    <row r="2" spans="1:2">
      <c r="A2" s="5"/>
      <c r="B2" s="5"/>
    </row>
    <row r="3" spans="1:2" ht="28.5">
      <c r="A3" s="5" t="s">
        <v>410</v>
      </c>
      <c r="B3" s="6">
        <f>SUM('02_Конкуренты_SW'!E4:E7)</f>
        <v>9005500</v>
      </c>
    </row>
    <row r="4" spans="1:2">
      <c r="A4" s="5" t="s">
        <v>362</v>
      </c>
      <c r="B4" s="7">
        <f>'02_Конкуренты_SW'!F4</f>
        <v>1.9580000000000001E-3</v>
      </c>
    </row>
    <row r="5" spans="1:2">
      <c r="A5" s="5" t="s">
        <v>363</v>
      </c>
      <c r="B5" s="5">
        <f>B3*B4</f>
        <v>17632.769</v>
      </c>
    </row>
    <row r="6" spans="1:2">
      <c r="A6" s="5" t="s">
        <v>364</v>
      </c>
      <c r="B6" s="5">
        <f>'03_Каналы'!B5</f>
        <v>0.48469999999999996</v>
      </c>
    </row>
    <row r="7" spans="1:2">
      <c r="A7" s="5" t="s">
        <v>411</v>
      </c>
      <c r="B7" s="5">
        <f>B5*B6</f>
        <v>8546.6031342999995</v>
      </c>
    </row>
    <row r="8" spans="1:2">
      <c r="A8" s="5" t="s">
        <v>365</v>
      </c>
      <c r="B8" s="5">
        <f>'06_Воронка_сценарии'!C13</f>
        <v>1.4999999999999999E-2</v>
      </c>
    </row>
    <row r="9" spans="1:2">
      <c r="A9" s="5" t="s">
        <v>366</v>
      </c>
      <c r="B9" s="5">
        <f>B7*B8</f>
        <v>128.1990470145</v>
      </c>
    </row>
    <row r="10" spans="1:2">
      <c r="A10" s="5" t="s">
        <v>367</v>
      </c>
      <c r="B10" s="5">
        <f>'06_Воронка_сценарии'!D6</f>
        <v>1.4999999999999999E-2</v>
      </c>
    </row>
    <row r="11" spans="1:2">
      <c r="A11" s="5" t="s">
        <v>368</v>
      </c>
      <c r="B11" s="5">
        <f>'06_Воронка_сценарии'!E6</f>
        <v>0.04</v>
      </c>
    </row>
    <row r="12" spans="1:2">
      <c r="A12" s="5" t="s">
        <v>369</v>
      </c>
      <c r="B12" s="5">
        <f>'06_Воронка_сценарии'!F6</f>
        <v>121.14</v>
      </c>
    </row>
    <row r="13" spans="1:2">
      <c r="A13" s="5" t="s">
        <v>370</v>
      </c>
      <c r="B13" s="5">
        <f>'06_Воронка_сценарии'!G6</f>
        <v>1</v>
      </c>
    </row>
    <row r="14" spans="1:2" ht="28.5">
      <c r="A14" s="5" t="s">
        <v>371</v>
      </c>
      <c r="B14" s="5">
        <f>B9*12*B10*B11*B12*B13</f>
        <v>111.81623439842301</v>
      </c>
    </row>
    <row r="15" spans="1:2" ht="28.5">
      <c r="A15" s="5" t="s">
        <v>372</v>
      </c>
      <c r="B15" s="5">
        <f>AVERAGE('02_Конкуренты_SW'!G4:G7)*12*B10*B11*B12*B13</f>
        <v>3844.860545988</v>
      </c>
    </row>
    <row r="16" spans="1:2">
      <c r="A16" s="5" t="s">
        <v>373</v>
      </c>
      <c r="B16" s="5">
        <f>'01_Параметры'!B8</f>
        <v>4</v>
      </c>
    </row>
    <row r="17" spans="1:2">
      <c r="A17" s="5" t="s">
        <v>374</v>
      </c>
      <c r="B17" s="5">
        <f>B15*B16</f>
        <v>15379.442183952</v>
      </c>
    </row>
    <row r="18" spans="1:2">
      <c r="A18" s="5"/>
      <c r="B18" s="5"/>
    </row>
    <row r="19" spans="1:2">
      <c r="A19" s="5"/>
      <c r="B19" s="5"/>
    </row>
    <row r="20" spans="1:2" ht="42.75">
      <c r="A20" s="5" t="s">
        <v>412</v>
      </c>
      <c r="B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A868-3920-4730-8E20-BAE88A902F48}">
  <dimension ref="A1:K18"/>
  <sheetViews>
    <sheetView workbookViewId="0"/>
  </sheetViews>
  <sheetFormatPr defaultRowHeight="14.25"/>
  <cols>
    <col min="1" max="1" width="60.625" customWidth="1"/>
    <col min="2" max="2" width="22.625" customWidth="1"/>
    <col min="3" max="3" width="41.625" customWidth="1"/>
    <col min="4" max="4" width="35.625" customWidth="1"/>
    <col min="5" max="5" width="25.625" customWidth="1"/>
    <col min="6" max="6" width="37.625" customWidth="1"/>
    <col min="7" max="7" width="30.625" customWidth="1"/>
    <col min="8" max="9" width="34.625" customWidth="1"/>
    <col min="10" max="10" width="31.625" customWidth="1"/>
    <col min="11" max="11" width="32.625" customWidth="1"/>
  </cols>
  <sheetData>
    <row r="1" spans="1:11" ht="28.5">
      <c r="A1" s="5" t="s">
        <v>346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>
      <c r="A3" s="5" t="s">
        <v>132</v>
      </c>
      <c r="B3" s="5" t="s">
        <v>347</v>
      </c>
      <c r="C3" s="5" t="s">
        <v>348</v>
      </c>
      <c r="D3" s="5" t="s">
        <v>349</v>
      </c>
      <c r="E3" s="5" t="s">
        <v>350</v>
      </c>
      <c r="F3" s="5" t="s">
        <v>351</v>
      </c>
      <c r="G3" s="5" t="s">
        <v>352</v>
      </c>
      <c r="H3" s="5" t="s">
        <v>395</v>
      </c>
      <c r="I3" s="5" t="s">
        <v>432</v>
      </c>
      <c r="J3" s="5" t="s">
        <v>433</v>
      </c>
      <c r="K3" s="5" t="s">
        <v>434</v>
      </c>
    </row>
    <row r="4" spans="1:11">
      <c r="A4" s="5" t="str">
        <f>'02_Конкуренты_SW'!A4</f>
        <v>plantuml.com</v>
      </c>
      <c r="B4" s="6">
        <f>'02_Конкуренты_SW'!E4</f>
        <v>507000</v>
      </c>
      <c r="C4" s="5">
        <f>B4/SUM($B$4:$B$7)</f>
        <v>5.6298928432624511E-2</v>
      </c>
      <c r="D4" s="5">
        <f>C4^2*10000</f>
        <v>31.695693426617765</v>
      </c>
      <c r="E4" s="6">
        <f>'02_Конкуренты_SW'!G4</f>
        <v>992.70600000000002</v>
      </c>
      <c r="F4" s="5">
        <f>E4/SUM($E$4:$E$7)</f>
        <v>5.6298928432624511E-2</v>
      </c>
      <c r="G4" s="5">
        <f>F4^2*10000</f>
        <v>31.695693426617765</v>
      </c>
      <c r="H4" s="5">
        <v>0.75</v>
      </c>
      <c r="I4" s="5">
        <f>E4*H4</f>
        <v>744.52949999999998</v>
      </c>
      <c r="J4" s="5">
        <f>I4/SUM($I$4:$I$7)</f>
        <v>0.10978778692074491</v>
      </c>
      <c r="K4" s="5">
        <f>J4^2*10000</f>
        <v>120.53358156954887</v>
      </c>
    </row>
    <row r="5" spans="1:11">
      <c r="A5" s="5" t="str">
        <f>'02_Конкуренты_SW'!A5</f>
        <v>app.diagrams.net</v>
      </c>
      <c r="B5" s="6">
        <f>'02_Конкуренты_SW'!E5</f>
        <v>7800000</v>
      </c>
      <c r="C5" s="5">
        <f>B5/SUM($B$4:$B$7)</f>
        <v>0.86613736050191548</v>
      </c>
      <c r="D5" s="5">
        <f>C5^2*10000</f>
        <v>7501.939272572251</v>
      </c>
      <c r="E5" s="6">
        <f>'02_Конкуренты_SW'!G5</f>
        <v>15272.400000000001</v>
      </c>
      <c r="F5" s="5">
        <f>E5/SUM($E$4:$E$7)</f>
        <v>0.86613736050191559</v>
      </c>
      <c r="G5" s="5">
        <f>F5^2*10000</f>
        <v>7501.9392725722537</v>
      </c>
      <c r="H5" s="5">
        <v>0.35</v>
      </c>
      <c r="I5" s="5">
        <f>E5*H5</f>
        <v>5345.34</v>
      </c>
      <c r="J5" s="5">
        <f>I5/SUM($I$4:$I$7)</f>
        <v>0.78822000866175834</v>
      </c>
      <c r="K5" s="5">
        <f>J5^2*10000</f>
        <v>6212.9078205474243</v>
      </c>
    </row>
    <row r="6" spans="1:11">
      <c r="A6" s="5" t="str">
        <f>'02_Конкуренты_SW'!A6</f>
        <v>eraser.io</v>
      </c>
      <c r="B6" s="6">
        <f>'02_Конкуренты_SW'!E6</f>
        <v>678500</v>
      </c>
      <c r="C6" s="5">
        <f>B6/SUM($B$4:$B$7)</f>
        <v>7.5342846038532002E-2</v>
      </c>
      <c r="D6" s="5">
        <f>C6^2*10000</f>
        <v>56.76544449185937</v>
      </c>
      <c r="E6" s="6">
        <f>'02_Конкуренты_SW'!G6</f>
        <v>1328.5030000000002</v>
      </c>
      <c r="F6" s="5">
        <f>E6/SUM($E$4:$E$7)</f>
        <v>7.5342846038532016E-2</v>
      </c>
      <c r="G6" s="5">
        <f>F6^2*10000</f>
        <v>56.765444491859398</v>
      </c>
      <c r="H6" s="5">
        <v>0.5</v>
      </c>
      <c r="I6" s="5">
        <f>E6*H6</f>
        <v>664.25150000000008</v>
      </c>
      <c r="J6" s="5">
        <f>I6/SUM($I$4:$I$7)</f>
        <v>9.795005052692364E-2</v>
      </c>
      <c r="K6" s="5">
        <f>J6^2*10000</f>
        <v>95.942123982268939</v>
      </c>
    </row>
    <row r="7" spans="1:11">
      <c r="A7" s="5" t="str">
        <f>'02_Конкуренты_SW'!A7</f>
        <v>mermaidchart.com</v>
      </c>
      <c r="B7" s="6">
        <f>'02_Конкуренты_SW'!E7</f>
        <v>20000</v>
      </c>
      <c r="C7" s="5">
        <f>B7/SUM($B$4:$B$7)</f>
        <v>2.2208650269279883E-3</v>
      </c>
      <c r="D7" s="5">
        <f>C7^2*10000</f>
        <v>4.9322414678318535E-2</v>
      </c>
      <c r="E7" s="6">
        <f>'02_Конкуренты_SW'!G7</f>
        <v>39.160000000000004</v>
      </c>
      <c r="F7" s="5">
        <f>E7/SUM($E$4:$E$7)</f>
        <v>2.2208650269279887E-3</v>
      </c>
      <c r="G7" s="5">
        <f>F7^2*10000</f>
        <v>4.9322414678318563E-2</v>
      </c>
      <c r="H7" s="5">
        <v>0.7</v>
      </c>
      <c r="I7" s="5">
        <f>E7*H7</f>
        <v>27.412000000000003</v>
      </c>
      <c r="J7" s="5">
        <f>I7/SUM($I$4:$I$7)</f>
        <v>4.0421538905731202E-3</v>
      </c>
      <c r="K7" s="5">
        <f>J7^2*10000</f>
        <v>0.16339008075075412</v>
      </c>
    </row>
    <row r="8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5" t="s">
        <v>353</v>
      </c>
      <c r="B9" s="6">
        <f>SUM(B4:B7)</f>
        <v>9005500</v>
      </c>
      <c r="C9" s="5"/>
      <c r="D9" s="5">
        <f>SUM(D4:D7)</f>
        <v>7590.4497329054066</v>
      </c>
      <c r="E9" s="6">
        <f>SUM(E4:E7)</f>
        <v>17632.769</v>
      </c>
      <c r="F9" s="5"/>
      <c r="G9" s="5">
        <f>SUM(G4:G7)</f>
        <v>7590.4497329054093</v>
      </c>
      <c r="H9" s="5"/>
      <c r="I9" s="5">
        <f>SUM(I4:I7)</f>
        <v>6781.5330000000004</v>
      </c>
      <c r="J9" s="5"/>
      <c r="K9" s="5">
        <f>SUM(K4:K7)</f>
        <v>6429.5469161799929</v>
      </c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 t="s">
        <v>293</v>
      </c>
      <c r="B11" s="5" t="s">
        <v>354</v>
      </c>
      <c r="C11" s="5" t="s">
        <v>355</v>
      </c>
      <c r="D11" s="5" t="s">
        <v>435</v>
      </c>
      <c r="E11" s="5"/>
      <c r="F11" s="5"/>
      <c r="G11" s="5"/>
      <c r="H11" s="5"/>
      <c r="I11" s="5"/>
      <c r="J11" s="5"/>
      <c r="K11" s="5"/>
    </row>
    <row r="12" spans="1:11">
      <c r="A12" s="5" t="s">
        <v>356</v>
      </c>
      <c r="B12" s="5">
        <f>(LARGE(C4:C7,1)+LARGE(C4:C7,2)+LARGE(C4:C7,3))*100</f>
        <v>99.777913497307196</v>
      </c>
      <c r="C12" s="5">
        <f>(LARGE(F4:F7,1)+LARGE(F4:F7,2)+LARGE(F4:F7,3))*100</f>
        <v>99.77791349730721</v>
      </c>
      <c r="D12" s="5">
        <f>(LARGE(J4:J7,1)+LARGE(J4:J7,2)+LARGE(J4:J7,3))*100</f>
        <v>99.595784610942687</v>
      </c>
      <c r="E12" s="5"/>
      <c r="F12" s="5"/>
      <c r="G12" s="5"/>
      <c r="H12" s="5"/>
      <c r="I12" s="5"/>
      <c r="J12" s="5"/>
      <c r="K12" s="5"/>
    </row>
    <row r="13" spans="1:11">
      <c r="A13" s="5" t="s">
        <v>357</v>
      </c>
      <c r="B13" s="5">
        <f>SUM(C4:C7)*100</f>
        <v>100</v>
      </c>
      <c r="C13" s="5">
        <f>SUM(F4:F7)*100</f>
        <v>100.00000000000003</v>
      </c>
      <c r="D13" s="5">
        <f>SUM(J4:J7)*100</f>
        <v>100</v>
      </c>
      <c r="E13" s="5"/>
      <c r="F13" s="5"/>
      <c r="G13" s="5"/>
      <c r="H13" s="5"/>
      <c r="I13" s="5"/>
      <c r="J13" s="5"/>
      <c r="K13" s="5"/>
    </row>
    <row r="14" spans="1:11">
      <c r="A14" s="5" t="s">
        <v>358</v>
      </c>
      <c r="B14" s="5">
        <f>D9</f>
        <v>7590.4497329054066</v>
      </c>
      <c r="C14" s="5">
        <f>G9</f>
        <v>7590.4497329054093</v>
      </c>
      <c r="D14" s="5">
        <f>K9</f>
        <v>6429.5469161799929</v>
      </c>
      <c r="E14" s="5"/>
      <c r="F14" s="5"/>
      <c r="G14" s="5"/>
      <c r="H14" s="5"/>
      <c r="I14" s="5"/>
      <c r="J14" s="5"/>
      <c r="K14" s="5"/>
    </row>
    <row r="15" spans="1:11">
      <c r="A15" s="5" t="s">
        <v>359</v>
      </c>
      <c r="B15" s="5" t="str">
        <f>IF(B14&lt;1500,"низкая концентрация",IF(B14&lt;=2500,"умеренная","высокая"))</f>
        <v>высокая</v>
      </c>
      <c r="C15" s="5" t="str">
        <f>IF(C14&lt;1500,"низкая концентрация",IF(C14&lt;=2500,"умеренная","высокая"))</f>
        <v>высокая</v>
      </c>
      <c r="D15" s="5" t="str">
        <f>IF(D14&lt;1500,"низкая концентрация",IF(D14&lt;=2500,"умеренная","высокая"))</f>
        <v>высокая</v>
      </c>
      <c r="E15" s="5"/>
      <c r="F15" s="5"/>
      <c r="G15" s="5"/>
      <c r="H15" s="5"/>
      <c r="I15" s="5"/>
      <c r="J15" s="5"/>
      <c r="K15" s="5"/>
    </row>
    <row r="16" spans="1:11">
      <c r="A16" s="5" t="s">
        <v>360</v>
      </c>
      <c r="B16" s="5" t="str">
        <f>IF(B14&gt;=B12^2/3,"выполняется","НЕ выполняется")</f>
        <v>выполняется</v>
      </c>
      <c r="C16" s="5" t="str">
        <f>IF(C14&gt;=C12^2/3,"выполняется","НЕ выполняется")</f>
        <v>выполняется</v>
      </c>
      <c r="D16" s="5" t="str">
        <f>IF(D14&gt;=D12^2/3,"выполняется","НЕ выполняется")</f>
        <v>выполняется</v>
      </c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99.75">
      <c r="A18" s="5" t="s">
        <v>436</v>
      </c>
      <c r="B18" s="5"/>
      <c r="C18" s="5"/>
      <c r="D18" s="5"/>
      <c r="E18" s="5"/>
      <c r="F18" s="5"/>
      <c r="G18" s="5"/>
      <c r="H18" s="5"/>
      <c r="I18" s="5"/>
      <c r="J18" s="5"/>
      <c r="K1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selection sqref="A1:H1"/>
    </sheetView>
  </sheetViews>
  <sheetFormatPr defaultRowHeight="14.25"/>
  <cols>
    <col min="1" max="1" width="55.625" customWidth="1"/>
    <col min="2" max="2" width="48.625" customWidth="1"/>
    <col min="3" max="4" width="55.625" customWidth="1"/>
    <col min="5" max="5" width="39.625" customWidth="1"/>
    <col min="6" max="6" width="55.625" customWidth="1"/>
    <col min="7" max="7" width="24" customWidth="1"/>
    <col min="8" max="8" width="42.625" customWidth="1"/>
    <col min="9" max="26" width="9.625" customWidth="1"/>
  </cols>
  <sheetData>
    <row r="1" spans="1:26" ht="15" customHeight="1">
      <c r="A1" s="27" t="s">
        <v>0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5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10" t="s">
        <v>25</v>
      </c>
      <c r="B6" s="10" t="s">
        <v>26</v>
      </c>
      <c r="C6" s="10" t="s">
        <v>27</v>
      </c>
      <c r="D6" s="10" t="s">
        <v>28</v>
      </c>
      <c r="E6" s="10" t="s">
        <v>29</v>
      </c>
      <c r="F6" s="10" t="s">
        <v>30</v>
      </c>
      <c r="G6" s="10" t="s">
        <v>23</v>
      </c>
      <c r="H6" s="10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8.5">
      <c r="A7" s="10" t="s">
        <v>32</v>
      </c>
      <c r="B7" s="10" t="s">
        <v>33</v>
      </c>
      <c r="C7" s="10" t="s">
        <v>34</v>
      </c>
      <c r="D7" s="10" t="s">
        <v>35</v>
      </c>
      <c r="E7" s="10" t="s">
        <v>36</v>
      </c>
      <c r="F7" s="10" t="s">
        <v>37</v>
      </c>
      <c r="G7" s="10" t="s">
        <v>38</v>
      </c>
      <c r="H7" s="10" t="s">
        <v>39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10" t="s">
        <v>40</v>
      </c>
      <c r="B8" s="10" t="s">
        <v>41</v>
      </c>
      <c r="C8" s="10" t="s">
        <v>42</v>
      </c>
      <c r="D8" s="10" t="s">
        <v>43</v>
      </c>
      <c r="E8" s="10" t="s">
        <v>44</v>
      </c>
      <c r="F8" s="10" t="s">
        <v>45</v>
      </c>
      <c r="G8" s="10" t="s">
        <v>46</v>
      </c>
      <c r="H8" s="10" t="s">
        <v>47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0" t="s">
        <v>48</v>
      </c>
      <c r="B9" s="10" t="s">
        <v>49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54</v>
      </c>
      <c r="H9" s="10" t="s">
        <v>55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0" t="s">
        <v>56</v>
      </c>
      <c r="B10" s="10" t="s">
        <v>57</v>
      </c>
      <c r="C10" s="10" t="s">
        <v>58</v>
      </c>
      <c r="D10" s="10" t="s">
        <v>59</v>
      </c>
      <c r="E10" s="10" t="s">
        <v>60</v>
      </c>
      <c r="F10" s="10" t="s">
        <v>61</v>
      </c>
      <c r="G10" s="10" t="s">
        <v>62</v>
      </c>
      <c r="H10" s="10" t="s">
        <v>63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0" t="s">
        <v>64</v>
      </c>
      <c r="B11" s="10" t="s">
        <v>65</v>
      </c>
      <c r="C11" s="10" t="s">
        <v>66</v>
      </c>
      <c r="D11" s="10" t="s">
        <v>67</v>
      </c>
      <c r="E11" s="10" t="s">
        <v>68</v>
      </c>
      <c r="F11" s="10" t="s">
        <v>69</v>
      </c>
      <c r="G11" s="10" t="s">
        <v>70</v>
      </c>
      <c r="H11" s="10" t="s">
        <v>71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>
      <c r="A13" s="28" t="s">
        <v>72</v>
      </c>
      <c r="B13" s="28"/>
      <c r="C13" s="28"/>
      <c r="D13" s="28"/>
      <c r="E13" s="28"/>
      <c r="F13" s="28"/>
      <c r="G13" s="28"/>
      <c r="H13" s="2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0" t="s">
        <v>73</v>
      </c>
      <c r="B14" s="10" t="s">
        <v>74</v>
      </c>
      <c r="C14" s="10" t="s">
        <v>75</v>
      </c>
      <c r="D14" s="10" t="s">
        <v>76</v>
      </c>
      <c r="E14" s="10"/>
      <c r="F14" s="10"/>
      <c r="G14" s="10"/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8.5">
      <c r="A15" s="10" t="s">
        <v>77</v>
      </c>
      <c r="B15" s="10" t="s">
        <v>78</v>
      </c>
      <c r="C15" s="10" t="s">
        <v>79</v>
      </c>
      <c r="D15" s="10" t="s">
        <v>80</v>
      </c>
      <c r="E15" s="10"/>
      <c r="F15" s="10"/>
      <c r="G15" s="10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0" t="s">
        <v>81</v>
      </c>
      <c r="B16" s="10" t="s">
        <v>82</v>
      </c>
      <c r="C16" s="10" t="s">
        <v>83</v>
      </c>
      <c r="D16" s="10" t="s">
        <v>84</v>
      </c>
      <c r="E16" s="10"/>
      <c r="F16" s="10"/>
      <c r="G16" s="10"/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0" t="s">
        <v>85</v>
      </c>
      <c r="B17" s="10" t="s">
        <v>86</v>
      </c>
      <c r="C17" s="10" t="s">
        <v>87</v>
      </c>
      <c r="D17" s="10" t="s">
        <v>88</v>
      </c>
      <c r="E17" s="10"/>
      <c r="F17" s="10"/>
      <c r="G17" s="10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10" t="s">
        <v>89</v>
      </c>
      <c r="B18" s="10" t="s">
        <v>90</v>
      </c>
      <c r="C18" s="10" t="s">
        <v>91</v>
      </c>
      <c r="D18" s="10" t="s">
        <v>92</v>
      </c>
      <c r="E18" s="10"/>
      <c r="F18" s="10"/>
      <c r="G18" s="10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4.25"/>
  <cols>
    <col min="1" max="1" width="45.625" customWidth="1"/>
    <col min="2" max="4" width="55.625" customWidth="1"/>
    <col min="5" max="26" width="9.625" customWidth="1"/>
  </cols>
  <sheetData>
    <row r="1" spans="1:26">
      <c r="A1" s="27" t="s">
        <v>93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9" t="s">
        <v>94</v>
      </c>
      <c r="B3" s="9" t="s">
        <v>95</v>
      </c>
      <c r="C3" s="9" t="s">
        <v>96</v>
      </c>
      <c r="D3" s="9" t="s">
        <v>97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.75">
      <c r="A4" s="5" t="s">
        <v>98</v>
      </c>
      <c r="B4" s="5" t="s">
        <v>295</v>
      </c>
      <c r="C4" s="5" t="s">
        <v>99</v>
      </c>
      <c r="D4" s="5" t="s">
        <v>100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101</v>
      </c>
      <c r="B5" s="5" t="s">
        <v>102</v>
      </c>
      <c r="C5" s="5" t="s">
        <v>99</v>
      </c>
      <c r="D5" s="5" t="s">
        <v>103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8.5">
      <c r="A6" s="5" t="s">
        <v>104</v>
      </c>
      <c r="B6" s="5" t="s">
        <v>296</v>
      </c>
      <c r="C6" s="5" t="s">
        <v>99</v>
      </c>
      <c r="D6" s="5" t="s">
        <v>105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106</v>
      </c>
      <c r="B7" s="11">
        <v>46294.875</v>
      </c>
      <c r="C7" s="5" t="s">
        <v>107</v>
      </c>
      <c r="D7" s="5" t="s">
        <v>108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109</v>
      </c>
      <c r="B8" s="5">
        <f>COUNT('02_Конкуренты_SW'!E4:E7)</f>
        <v>4</v>
      </c>
      <c r="C8" s="5" t="s">
        <v>110</v>
      </c>
      <c r="D8" s="5" t="s">
        <v>111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.75">
      <c r="A9" s="5" t="s">
        <v>112</v>
      </c>
      <c r="B9" s="12">
        <f>SUM('02_Конкуренты_SW'!G4:G7)</f>
        <v>17632.769</v>
      </c>
      <c r="C9" s="5" t="s">
        <v>113</v>
      </c>
      <c r="D9" s="5" t="s">
        <v>413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114</v>
      </c>
      <c r="B10" s="12">
        <f>SUM('02_Конкуренты_SW'!H4:H7)</f>
        <v>211593.22800000003</v>
      </c>
      <c r="C10" s="5" t="s">
        <v>113</v>
      </c>
      <c r="D10" s="5" t="s">
        <v>414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8.5">
      <c r="A11" s="5" t="s">
        <v>115</v>
      </c>
      <c r="B11" s="13">
        <v>0.7</v>
      </c>
      <c r="C11" s="5" t="s">
        <v>116</v>
      </c>
      <c r="D11" s="5" t="s">
        <v>398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117</v>
      </c>
      <c r="B12" s="12">
        <f>IFERROR(B9/B11,0)</f>
        <v>25189.670000000002</v>
      </c>
      <c r="C12" s="5" t="s">
        <v>113</v>
      </c>
      <c r="D12" s="5" t="s">
        <v>118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119</v>
      </c>
      <c r="B13" s="12">
        <f>IFERROR(B10/B11,0)</f>
        <v>302276.04000000004</v>
      </c>
      <c r="C13" s="5" t="s">
        <v>113</v>
      </c>
      <c r="D13" s="5" t="s">
        <v>118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>
      <c r="A15" s="28" t="s">
        <v>120</v>
      </c>
      <c r="B15" s="28"/>
      <c r="C15" s="28"/>
      <c r="D15" s="28"/>
      <c r="E15" s="28"/>
      <c r="F15" s="28"/>
      <c r="G15" s="28"/>
      <c r="H15" s="2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 t="s">
        <v>73</v>
      </c>
      <c r="B16" s="5" t="s">
        <v>121</v>
      </c>
      <c r="C16" s="5" t="s">
        <v>122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77</v>
      </c>
      <c r="B17" s="5" t="s">
        <v>123</v>
      </c>
      <c r="C17" s="5" t="s">
        <v>124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 t="s">
        <v>81</v>
      </c>
      <c r="B18" s="5" t="s">
        <v>125</v>
      </c>
      <c r="C18" s="5" t="s">
        <v>126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 t="s">
        <v>85</v>
      </c>
      <c r="B19" s="5" t="s">
        <v>127</v>
      </c>
      <c r="C19" s="5" t="s">
        <v>128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 t="s">
        <v>89</v>
      </c>
      <c r="B20" s="5" t="s">
        <v>129</v>
      </c>
      <c r="C20" s="5" t="s">
        <v>130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2">
    <mergeCell ref="A1:H1"/>
    <mergeCell ref="A15:H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/>
  </sheetViews>
  <sheetFormatPr defaultRowHeight="14.25"/>
  <cols>
    <col min="1" max="1" width="55.625" customWidth="1"/>
    <col min="2" max="2" width="26" customWidth="1"/>
    <col min="3" max="3" width="24" customWidth="1"/>
    <col min="4" max="4" width="14" customWidth="1"/>
    <col min="5" max="5" width="15.625" customWidth="1"/>
    <col min="6" max="7" width="26.625" customWidth="1"/>
    <col min="8" max="8" width="25.625" customWidth="1"/>
    <col min="9" max="9" width="23.625" customWidth="1"/>
    <col min="10" max="10" width="13" customWidth="1"/>
    <col min="11" max="11" width="14.625" customWidth="1"/>
    <col min="12" max="12" width="20.625" customWidth="1"/>
    <col min="13" max="13" width="12" customWidth="1"/>
    <col min="14" max="14" width="15.625" customWidth="1"/>
    <col min="15" max="16" width="12" customWidth="1"/>
    <col min="17" max="17" width="13" customWidth="1"/>
    <col min="18" max="18" width="12" customWidth="1"/>
    <col min="19" max="19" width="55.625" customWidth="1"/>
    <col min="20" max="26" width="9.625" customWidth="1"/>
  </cols>
  <sheetData>
    <row r="1" spans="1:26">
      <c r="A1" s="27" t="s">
        <v>131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132</v>
      </c>
      <c r="B3" s="9" t="s">
        <v>133</v>
      </c>
      <c r="C3" s="9" t="s">
        <v>134</v>
      </c>
      <c r="D3" s="9" t="s">
        <v>135</v>
      </c>
      <c r="E3" s="9" t="s">
        <v>136</v>
      </c>
      <c r="F3" s="9" t="s">
        <v>137</v>
      </c>
      <c r="G3" s="9" t="s">
        <v>138</v>
      </c>
      <c r="H3" s="9" t="s">
        <v>139</v>
      </c>
      <c r="I3" s="9" t="s">
        <v>140</v>
      </c>
      <c r="J3" s="9" t="s">
        <v>141</v>
      </c>
      <c r="K3" s="9" t="s">
        <v>142</v>
      </c>
      <c r="L3" s="9" t="s">
        <v>143</v>
      </c>
      <c r="M3" s="9" t="s">
        <v>144</v>
      </c>
      <c r="N3" s="9" t="s">
        <v>145</v>
      </c>
      <c r="O3" s="9" t="s">
        <v>146</v>
      </c>
      <c r="P3" s="9" t="s">
        <v>147</v>
      </c>
      <c r="Q3" s="9" t="s">
        <v>148</v>
      </c>
      <c r="R3" s="9" t="s">
        <v>149</v>
      </c>
      <c r="S3" s="9" t="s">
        <v>97</v>
      </c>
      <c r="T3" s="5"/>
      <c r="U3" s="5"/>
      <c r="V3" s="5"/>
      <c r="W3" s="5"/>
      <c r="X3" s="5"/>
      <c r="Y3" s="5"/>
      <c r="Z3" s="5"/>
    </row>
    <row r="4" spans="1:26" ht="57">
      <c r="A4" s="5" t="s">
        <v>297</v>
      </c>
      <c r="B4" s="5" t="s">
        <v>298</v>
      </c>
      <c r="C4" s="5" t="s">
        <v>299</v>
      </c>
      <c r="D4" s="5" t="s">
        <v>150</v>
      </c>
      <c r="E4" s="12">
        <v>507000</v>
      </c>
      <c r="F4" s="13">
        <v>1.9580000000000001E-3</v>
      </c>
      <c r="G4" s="12">
        <f t="shared" ref="G4:G7" si="0">IFERROR(E4*F4,0)</f>
        <v>992.70600000000002</v>
      </c>
      <c r="H4" s="12">
        <f t="shared" ref="H4:H7" si="1">G4*12</f>
        <v>11912.472</v>
      </c>
      <c r="I4" s="14">
        <f>IFERROR(G4/SUM($G$4:$G$7),0)</f>
        <v>5.6298928432624511E-2</v>
      </c>
      <c r="J4" s="14">
        <v>0.45519999999999999</v>
      </c>
      <c r="K4" s="15">
        <v>3.18</v>
      </c>
      <c r="L4" s="16">
        <v>2.2685185185185187E-3</v>
      </c>
      <c r="M4" s="14" t="s">
        <v>442</v>
      </c>
      <c r="N4" s="14">
        <v>0.48470000000000002</v>
      </c>
      <c r="O4" s="14" t="s">
        <v>442</v>
      </c>
      <c r="P4" s="14" t="s">
        <v>442</v>
      </c>
      <c r="Q4" s="14" t="s">
        <v>442</v>
      </c>
      <c r="R4" s="14" t="s">
        <v>442</v>
      </c>
      <c r="S4" s="5" t="s">
        <v>415</v>
      </c>
      <c r="T4" s="5"/>
      <c r="U4" s="5"/>
      <c r="V4" s="5"/>
      <c r="W4" s="5"/>
      <c r="X4" s="5"/>
      <c r="Y4" s="5"/>
      <c r="Z4" s="5"/>
    </row>
    <row r="5" spans="1:26" ht="57">
      <c r="A5" s="5" t="s">
        <v>300</v>
      </c>
      <c r="B5" s="5" t="s">
        <v>301</v>
      </c>
      <c r="C5" s="5" t="s">
        <v>302</v>
      </c>
      <c r="D5" s="5" t="s">
        <v>151</v>
      </c>
      <c r="E5" s="12">
        <v>7800000</v>
      </c>
      <c r="F5" s="13">
        <v>1.9580000000000001E-3</v>
      </c>
      <c r="G5" s="12">
        <f t="shared" si="0"/>
        <v>15272.400000000001</v>
      </c>
      <c r="H5" s="12">
        <f t="shared" si="1"/>
        <v>183268.80000000002</v>
      </c>
      <c r="I5" s="14">
        <f>IFERROR(G5/SUM($G$4:$G$7),0)</f>
        <v>0.86613736050191559</v>
      </c>
      <c r="J5" s="14" t="s">
        <v>442</v>
      </c>
      <c r="K5" s="15" t="s">
        <v>442</v>
      </c>
      <c r="L5" s="5" t="s">
        <v>442</v>
      </c>
      <c r="M5" s="14" t="s">
        <v>442</v>
      </c>
      <c r="N5" s="14" t="s">
        <v>442</v>
      </c>
      <c r="O5" s="14" t="s">
        <v>442</v>
      </c>
      <c r="P5" s="14" t="s">
        <v>442</v>
      </c>
      <c r="Q5" s="14" t="s">
        <v>442</v>
      </c>
      <c r="R5" s="14" t="s">
        <v>442</v>
      </c>
      <c r="S5" s="5" t="s">
        <v>437</v>
      </c>
      <c r="T5" s="5"/>
      <c r="U5" s="5"/>
      <c r="V5" s="5"/>
      <c r="W5" s="5"/>
      <c r="X5" s="5"/>
      <c r="Y5" s="5"/>
      <c r="Z5" s="5"/>
    </row>
    <row r="6" spans="1:26" ht="71.25">
      <c r="A6" s="5" t="s">
        <v>303</v>
      </c>
      <c r="B6" s="5" t="s">
        <v>304</v>
      </c>
      <c r="C6" s="5" t="s">
        <v>299</v>
      </c>
      <c r="D6" s="5" t="s">
        <v>150</v>
      </c>
      <c r="E6" s="12">
        <v>678500</v>
      </c>
      <c r="F6" s="13">
        <v>1.9580000000000001E-3</v>
      </c>
      <c r="G6" s="12">
        <f t="shared" si="0"/>
        <v>1328.5030000000002</v>
      </c>
      <c r="H6" s="12">
        <f t="shared" si="1"/>
        <v>15942.036000000002</v>
      </c>
      <c r="I6" s="14">
        <f>IFERROR(G6/SUM($G$4:$G$7),0)</f>
        <v>7.5342846038532016E-2</v>
      </c>
      <c r="J6" s="14" t="s">
        <v>442</v>
      </c>
      <c r="K6" s="15" t="s">
        <v>442</v>
      </c>
      <c r="L6" s="5" t="s">
        <v>442</v>
      </c>
      <c r="M6" s="14" t="s">
        <v>442</v>
      </c>
      <c r="N6" s="14" t="s">
        <v>442</v>
      </c>
      <c r="O6" s="14" t="s">
        <v>442</v>
      </c>
      <c r="P6" s="14" t="s">
        <v>442</v>
      </c>
      <c r="Q6" s="14" t="s">
        <v>442</v>
      </c>
      <c r="R6" s="14" t="s">
        <v>442</v>
      </c>
      <c r="S6" s="5" t="s">
        <v>438</v>
      </c>
      <c r="T6" s="5"/>
      <c r="U6" s="5"/>
      <c r="V6" s="5"/>
      <c r="W6" s="5"/>
      <c r="X6" s="5"/>
      <c r="Y6" s="5"/>
      <c r="Z6" s="5"/>
    </row>
    <row r="7" spans="1:26" ht="71.25">
      <c r="A7" s="5" t="s">
        <v>305</v>
      </c>
      <c r="B7" s="5" t="s">
        <v>306</v>
      </c>
      <c r="C7" s="5" t="s">
        <v>299</v>
      </c>
      <c r="D7" s="5" t="s">
        <v>150</v>
      </c>
      <c r="E7" s="12">
        <v>20000</v>
      </c>
      <c r="F7" s="13">
        <v>1.9580000000000001E-3</v>
      </c>
      <c r="G7" s="12">
        <f t="shared" si="0"/>
        <v>39.160000000000004</v>
      </c>
      <c r="H7" s="12">
        <f t="shared" si="1"/>
        <v>469.92000000000007</v>
      </c>
      <c r="I7" s="14">
        <f>IFERROR(G7/SUM($G$4:$G$7),0)</f>
        <v>2.2208650269279887E-3</v>
      </c>
      <c r="J7" s="14" t="s">
        <v>442</v>
      </c>
      <c r="K7" s="15" t="s">
        <v>442</v>
      </c>
      <c r="L7" s="5" t="s">
        <v>442</v>
      </c>
      <c r="M7" s="14" t="s">
        <v>442</v>
      </c>
      <c r="N7" s="14" t="s">
        <v>442</v>
      </c>
      <c r="O7" s="14" t="s">
        <v>442</v>
      </c>
      <c r="P7" s="14" t="s">
        <v>442</v>
      </c>
      <c r="Q7" s="14" t="s">
        <v>442</v>
      </c>
      <c r="R7" s="14" t="s">
        <v>442</v>
      </c>
      <c r="S7" s="5" t="s">
        <v>439</v>
      </c>
      <c r="T7" s="5"/>
      <c r="U7" s="5"/>
      <c r="V7" s="5"/>
      <c r="W7" s="5"/>
      <c r="X7" s="5"/>
      <c r="Y7" s="5"/>
      <c r="Z7" s="5"/>
    </row>
    <row r="8" spans="1:26" ht="15">
      <c r="A8" s="1" t="s">
        <v>152</v>
      </c>
      <c r="B8" s="1"/>
      <c r="C8" s="1"/>
      <c r="D8" s="1"/>
      <c r="E8" s="2">
        <f>SUM(E4:E7)</f>
        <v>9005500</v>
      </c>
      <c r="F8" s="1"/>
      <c r="G8" s="2">
        <f>SUM(G4:G7)</f>
        <v>17632.769</v>
      </c>
      <c r="H8" s="2">
        <f>SUM(H4:H7)</f>
        <v>211593.22800000003</v>
      </c>
      <c r="I8" s="3">
        <f>SUM(I4:I7)</f>
        <v>1.0000000000000002</v>
      </c>
      <c r="J8" s="3">
        <f>AVERAGE(J4:J7)</f>
        <v>0.45519999999999999</v>
      </c>
      <c r="K8" s="4">
        <f>AVERAGE(K4:K7)</f>
        <v>3.18</v>
      </c>
      <c r="L8" s="1"/>
      <c r="M8" s="3">
        <f t="shared" ref="M8:R8" si="2">IFERROR(SUMPRODUCT($G$4:$G$7,M4:M7)/SUMIF(M4:M7,"&gt;0",$G$4:$G$7),0)</f>
        <v>0</v>
      </c>
      <c r="N8" s="3">
        <f t="shared" si="2"/>
        <v>0.48469999999999996</v>
      </c>
      <c r="O8" s="3">
        <f t="shared" si="2"/>
        <v>0</v>
      </c>
      <c r="P8" s="3">
        <f t="shared" si="2"/>
        <v>0</v>
      </c>
      <c r="Q8" s="3">
        <f t="shared" si="2"/>
        <v>0</v>
      </c>
      <c r="R8" s="3">
        <f t="shared" si="2"/>
        <v>0</v>
      </c>
      <c r="S8" s="1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1.25">
      <c r="A10" s="5" t="s">
        <v>416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</sheetData>
  <mergeCells count="1">
    <mergeCell ref="A1:S1"/>
  </mergeCells>
  <conditionalFormatting sqref="G4:G7">
    <cfRule type="dataBar" priority="5">
      <dataBar>
        <cfvo type="min"/>
        <cfvo type="max"/>
        <color rgb="FF5B9BD5"/>
      </dataBar>
    </cfRule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7">
    <cfRule type="dataBar" priority="7">
      <dataBar>
        <cfvo type="min"/>
        <cfvo type="max"/>
        <color rgb="FF70AD47"/>
      </dataBar>
    </cfRule>
    <cfRule type="dataBar" priority="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G4:G7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4.25"/>
  <cols>
    <col min="1" max="1" width="55.625" customWidth="1"/>
    <col min="2" max="2" width="23.625" customWidth="1"/>
    <col min="3" max="3" width="32.625" customWidth="1"/>
    <col min="4" max="4" width="31.625" customWidth="1"/>
    <col min="5" max="5" width="45.625" customWidth="1"/>
    <col min="6" max="6" width="41.625" customWidth="1"/>
    <col min="7" max="7" width="46.625" customWidth="1"/>
    <col min="8" max="8" width="14" customWidth="1"/>
    <col min="9" max="26" width="9.625" customWidth="1"/>
  </cols>
  <sheetData>
    <row r="1" spans="1:26" ht="15" customHeight="1">
      <c r="A1" s="27" t="s">
        <v>153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154</v>
      </c>
      <c r="B3" s="9" t="s">
        <v>155</v>
      </c>
      <c r="C3" s="9" t="s">
        <v>156</v>
      </c>
      <c r="D3" s="9" t="s">
        <v>157</v>
      </c>
      <c r="E3" s="9" t="s">
        <v>158</v>
      </c>
      <c r="F3" s="9" t="s">
        <v>159</v>
      </c>
      <c r="G3" s="9" t="s">
        <v>160</v>
      </c>
      <c r="H3" s="9" t="s">
        <v>161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144</v>
      </c>
      <c r="B4" s="14">
        <f>'02_Конкуренты_SW'!M8</f>
        <v>0</v>
      </c>
      <c r="C4" s="12">
        <f>B4*'01_Параметры'!$B$12</f>
        <v>0</v>
      </c>
      <c r="D4" s="12">
        <f t="shared" ref="D4:D9" si="0">C4*12</f>
        <v>0</v>
      </c>
      <c r="E4" s="5" t="s">
        <v>162</v>
      </c>
      <c r="F4" s="5" t="s">
        <v>163</v>
      </c>
      <c r="G4" s="5" t="s">
        <v>164</v>
      </c>
      <c r="H4" s="5" t="s">
        <v>394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145</v>
      </c>
      <c r="B5" s="14">
        <f>'02_Конкуренты_SW'!N8</f>
        <v>0.48469999999999996</v>
      </c>
      <c r="C5" s="12">
        <f>B5*'01_Параметры'!$B$12</f>
        <v>12209.433048999999</v>
      </c>
      <c r="D5" s="12">
        <f t="shared" si="0"/>
        <v>146513.19658799999</v>
      </c>
      <c r="E5" s="5" t="s">
        <v>165</v>
      </c>
      <c r="F5" s="5" t="s">
        <v>166</v>
      </c>
      <c r="G5" s="5" t="s">
        <v>167</v>
      </c>
      <c r="H5" s="5" t="str">
        <f t="shared" ref="H5" si="1">IF(B5&gt;=0.3,"высокий",IF(B5&gt;=0.15,"средний","низкий"))</f>
        <v>высокий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146</v>
      </c>
      <c r="B6" s="14">
        <f>'02_Конкуренты_SW'!O8</f>
        <v>0</v>
      </c>
      <c r="C6" s="12">
        <f>B6*'01_Параметры'!$B$12</f>
        <v>0</v>
      </c>
      <c r="D6" s="12">
        <f t="shared" si="0"/>
        <v>0</v>
      </c>
      <c r="E6" s="5" t="s">
        <v>168</v>
      </c>
      <c r="F6" s="5" t="s">
        <v>169</v>
      </c>
      <c r="G6" s="5" t="s">
        <v>170</v>
      </c>
      <c r="H6" s="5" t="s">
        <v>394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147</v>
      </c>
      <c r="B7" s="14">
        <f>'02_Конкуренты_SW'!P8</f>
        <v>0</v>
      </c>
      <c r="C7" s="12">
        <f>B7*'01_Параметры'!$B$12</f>
        <v>0</v>
      </c>
      <c r="D7" s="12">
        <f t="shared" si="0"/>
        <v>0</v>
      </c>
      <c r="E7" s="5" t="s">
        <v>171</v>
      </c>
      <c r="F7" s="5" t="s">
        <v>172</v>
      </c>
      <c r="G7" s="5" t="s">
        <v>173</v>
      </c>
      <c r="H7" s="5" t="s">
        <v>394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148</v>
      </c>
      <c r="B8" s="14">
        <f>'02_Конкуренты_SW'!Q8</f>
        <v>0</v>
      </c>
      <c r="C8" s="12">
        <f>B8*'01_Параметры'!$B$12</f>
        <v>0</v>
      </c>
      <c r="D8" s="12">
        <f t="shared" si="0"/>
        <v>0</v>
      </c>
      <c r="E8" s="5" t="s">
        <v>174</v>
      </c>
      <c r="F8" s="5" t="s">
        <v>175</v>
      </c>
      <c r="G8" s="5" t="s">
        <v>176</v>
      </c>
      <c r="H8" s="5" t="s">
        <v>394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149</v>
      </c>
      <c r="B9" s="14">
        <f>'02_Конкуренты_SW'!R8</f>
        <v>0</v>
      </c>
      <c r="C9" s="12">
        <f>B9*'01_Параметры'!$B$12</f>
        <v>0</v>
      </c>
      <c r="D9" s="12">
        <f t="shared" si="0"/>
        <v>0</v>
      </c>
      <c r="E9" s="5" t="s">
        <v>177</v>
      </c>
      <c r="F9" s="5" t="s">
        <v>178</v>
      </c>
      <c r="G9" s="5" t="s">
        <v>179</v>
      </c>
      <c r="H9" s="5" t="s">
        <v>394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.75">
      <c r="A11" s="5" t="s">
        <v>417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/>
  </sheetViews>
  <sheetFormatPr defaultRowHeight="14.25"/>
  <cols>
    <col min="1" max="1" width="55.625" customWidth="1"/>
    <col min="2" max="2" width="28.625" customWidth="1"/>
    <col min="3" max="3" width="32.625" customWidth="1"/>
    <col min="4" max="4" width="31.625" customWidth="1"/>
    <col min="5" max="5" width="34.625" customWidth="1"/>
    <col min="6" max="6" width="24.625" customWidth="1"/>
    <col min="7" max="7" width="18" customWidth="1"/>
    <col min="8" max="9" width="55.625" customWidth="1"/>
    <col min="10" max="10" width="15.625" customWidth="1"/>
    <col min="11" max="26" width="9.625" customWidth="1"/>
  </cols>
  <sheetData>
    <row r="1" spans="1:26">
      <c r="A1" s="27" t="s">
        <v>180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181</v>
      </c>
      <c r="B3" s="9" t="s">
        <v>182</v>
      </c>
      <c r="C3" s="9" t="s">
        <v>183</v>
      </c>
      <c r="D3" s="9" t="s">
        <v>184</v>
      </c>
      <c r="E3" s="9" t="s">
        <v>185</v>
      </c>
      <c r="F3" s="9" t="s">
        <v>186</v>
      </c>
      <c r="G3" s="9" t="s">
        <v>187</v>
      </c>
      <c r="H3" s="9" t="s">
        <v>97</v>
      </c>
      <c r="I3" s="5" t="s">
        <v>312</v>
      </c>
      <c r="J3" s="5" t="s">
        <v>313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102</v>
      </c>
      <c r="B4" s="14">
        <v>1.9580000000000001E-3</v>
      </c>
      <c r="C4" s="12">
        <f>B4*'01_Параметры'!$B$12</f>
        <v>49.321373860000008</v>
      </c>
      <c r="D4" s="12">
        <f>C4*12</f>
        <v>591.85648632000016</v>
      </c>
      <c r="E4" s="5" t="s">
        <v>188</v>
      </c>
      <c r="F4" s="5" t="s">
        <v>188</v>
      </c>
      <c r="G4" s="5" t="str">
        <f>IF(B4&gt;=0.35,"высокий",IF(B4&gt;=0.15,"средний","низкий"))</f>
        <v>низкий</v>
      </c>
      <c r="H4" s="5" t="s">
        <v>399</v>
      </c>
      <c r="I4" s="5">
        <f>B4*SUM('02_Конкуренты_SW'!$E$4:$E$7)/'01_Параметры'!$B$11</f>
        <v>25189.670000000002</v>
      </c>
      <c r="J4" s="5">
        <f>I4*12</f>
        <v>302276.04000000004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.5">
      <c r="A5" s="5" t="s">
        <v>307</v>
      </c>
      <c r="B5" s="14">
        <v>1.428E-3</v>
      </c>
      <c r="C5" s="12">
        <f>B5*'01_Параметры'!$B$12</f>
        <v>35.970848760000003</v>
      </c>
      <c r="D5" s="12">
        <f>C5*12</f>
        <v>431.65018512000006</v>
      </c>
      <c r="E5" s="5" t="s">
        <v>189</v>
      </c>
      <c r="F5" s="5" t="s">
        <v>190</v>
      </c>
      <c r="G5" s="5" t="str">
        <f>IF(B5&gt;=0.35,"высокий",IF(B5&gt;=0.15,"средний","низкий"))</f>
        <v>низкий</v>
      </c>
      <c r="H5" s="5" t="s">
        <v>396</v>
      </c>
      <c r="I5" s="5">
        <f>B5*SUM('02_Конкуренты_SW'!$E$4:$E$7)/'01_Параметры'!$B$11</f>
        <v>18371.22</v>
      </c>
      <c r="J5" s="5">
        <f>I5*12</f>
        <v>220454.64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308</v>
      </c>
      <c r="B6" s="14">
        <v>5.2999999999999998E-4</v>
      </c>
      <c r="C6" s="12">
        <f>B6*'01_Параметры'!$B$12</f>
        <v>13.3505251</v>
      </c>
      <c r="D6" s="12">
        <f>C6*12</f>
        <v>160.20630120000001</v>
      </c>
      <c r="E6" s="5" t="s">
        <v>188</v>
      </c>
      <c r="F6" s="5" t="s">
        <v>188</v>
      </c>
      <c r="G6" s="5" t="str">
        <f>IF(B6&gt;=0.35,"высокий",IF(B6&gt;=0.15,"средний","низкий"))</f>
        <v>низкий</v>
      </c>
      <c r="H6" s="5" t="s">
        <v>309</v>
      </c>
      <c r="I6" s="5">
        <f>B6*SUM('02_Конкуренты_SW'!$E$4:$E$7)/'01_Параметры'!$B$11</f>
        <v>6818.4500000000007</v>
      </c>
      <c r="J6" s="5">
        <f>I6*12</f>
        <v>81821.400000000009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8.5">
      <c r="A7" s="5" t="s">
        <v>310</v>
      </c>
      <c r="B7" s="14">
        <v>9.0700000000000003E-2</v>
      </c>
      <c r="C7" s="12">
        <f>B7*'01_Параметры'!$B$12</f>
        <v>2284.7030690000001</v>
      </c>
      <c r="D7" s="12">
        <f>C7*12</f>
        <v>27416.436828000002</v>
      </c>
      <c r="E7" s="5" t="s">
        <v>191</v>
      </c>
      <c r="F7" s="5" t="s">
        <v>190</v>
      </c>
      <c r="G7" s="5" t="str">
        <f>IF(B7&gt;=0.35,"высокий",IF(B7&gt;=0.15,"средний","низкий"))</f>
        <v>низкий</v>
      </c>
      <c r="H7" s="5" t="s">
        <v>311</v>
      </c>
      <c r="I7" s="5">
        <f>B7*SUM('02_Конкуренты_SW'!$E$4:$E$7)/'01_Параметры'!$B$11</f>
        <v>1166855.5</v>
      </c>
      <c r="J7" s="5">
        <f>I7*12</f>
        <v>14002266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.75">
      <c r="A9" s="5" t="s">
        <v>418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</sheetData>
  <mergeCells count="1">
    <mergeCell ref="A1:H1"/>
  </mergeCells>
  <phoneticPr fontId="7" type="noConversion"/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"/>
  <sheetViews>
    <sheetView workbookViewId="0"/>
  </sheetViews>
  <sheetFormatPr defaultRowHeight="14.25"/>
  <cols>
    <col min="1" max="1" width="55.625" customWidth="1"/>
    <col min="2" max="2" width="37.625" customWidth="1"/>
    <col min="3" max="3" width="25.625" customWidth="1"/>
    <col min="4" max="4" width="27.625" customWidth="1"/>
    <col min="5" max="6" width="18" customWidth="1"/>
    <col min="7" max="7" width="31.625" customWidth="1"/>
    <col min="8" max="8" width="18" customWidth="1"/>
    <col min="9" max="9" width="53.625" customWidth="1"/>
    <col min="10" max="10" width="55.625" customWidth="1"/>
    <col min="11" max="11" width="36.625" customWidth="1"/>
    <col min="12" max="26" width="9.625" customWidth="1"/>
  </cols>
  <sheetData>
    <row r="1" spans="1:26">
      <c r="A1" s="27" t="s">
        <v>192</v>
      </c>
      <c r="B1" s="27"/>
      <c r="C1" s="27"/>
      <c r="D1" s="27"/>
      <c r="E1" s="27"/>
      <c r="F1" s="27"/>
      <c r="G1" s="27"/>
      <c r="H1" s="27"/>
      <c r="I1" s="27"/>
      <c r="J1" s="2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193</v>
      </c>
      <c r="B3" s="9" t="s">
        <v>194</v>
      </c>
      <c r="C3" s="9" t="s">
        <v>195</v>
      </c>
      <c r="D3" s="9" t="s">
        <v>196</v>
      </c>
      <c r="E3" s="9" t="s">
        <v>197</v>
      </c>
      <c r="F3" s="9" t="s">
        <v>198</v>
      </c>
      <c r="G3" s="9" t="s">
        <v>52</v>
      </c>
      <c r="H3" s="9" t="s">
        <v>134</v>
      </c>
      <c r="I3" s="9" t="s">
        <v>199</v>
      </c>
      <c r="J3" s="9" t="s">
        <v>97</v>
      </c>
      <c r="K3" s="5" t="s">
        <v>328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.75">
      <c r="A4" s="5" t="s">
        <v>314</v>
      </c>
      <c r="B4" s="5" t="s">
        <v>315</v>
      </c>
      <c r="C4" s="14">
        <v>6.7999999999999996E-3</v>
      </c>
      <c r="D4" s="12">
        <f>C4*'01_Параметры'!$B$12</f>
        <v>171.28975600000001</v>
      </c>
      <c r="E4" s="5" t="s">
        <v>200</v>
      </c>
      <c r="F4" s="15">
        <v>1</v>
      </c>
      <c r="G4" s="12">
        <f t="shared" ref="G4:G10" si="0">D4*F4</f>
        <v>171.28975600000001</v>
      </c>
      <c r="H4" s="5" t="s">
        <v>316</v>
      </c>
      <c r="I4" s="5" t="s">
        <v>201</v>
      </c>
      <c r="J4" s="5" t="s">
        <v>400</v>
      </c>
      <c r="K4" s="5">
        <f>D4*'03_Каналы'!$B$5</f>
        <v>83.024144733200004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2.75">
      <c r="A5" s="5" t="s">
        <v>317</v>
      </c>
      <c r="B5" s="5" t="s">
        <v>315</v>
      </c>
      <c r="C5" s="14">
        <v>9.5999999999999992E-3</v>
      </c>
      <c r="D5" s="12">
        <f>C5*'01_Параметры'!$B$12</f>
        <v>241.820832</v>
      </c>
      <c r="E5" s="5" t="s">
        <v>200</v>
      </c>
      <c r="F5" s="15">
        <v>1</v>
      </c>
      <c r="G5" s="12">
        <f t="shared" si="0"/>
        <v>241.820832</v>
      </c>
      <c r="H5" s="5" t="s">
        <v>316</v>
      </c>
      <c r="I5" s="5" t="s">
        <v>318</v>
      </c>
      <c r="J5" s="5" t="s">
        <v>401</v>
      </c>
      <c r="K5" s="5">
        <f>D5*'03_Каналы'!$B$5</f>
        <v>117.21055727039999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2.75">
      <c r="A6" s="5" t="s">
        <v>319</v>
      </c>
      <c r="B6" s="5" t="s">
        <v>315</v>
      </c>
      <c r="C6" s="14">
        <v>0.1038</v>
      </c>
      <c r="D6" s="12">
        <f>C6*'01_Параметры'!$B$12</f>
        <v>2614.6877460000001</v>
      </c>
      <c r="E6" s="5" t="s">
        <v>203</v>
      </c>
      <c r="F6" s="15">
        <v>0.7</v>
      </c>
      <c r="G6" s="12">
        <f t="shared" si="0"/>
        <v>1830.2814222</v>
      </c>
      <c r="H6" s="5" t="s">
        <v>320</v>
      </c>
      <c r="I6" s="5" t="s">
        <v>201</v>
      </c>
      <c r="J6" s="5" t="s">
        <v>402</v>
      </c>
      <c r="K6" s="5">
        <f>D6*'03_Каналы'!$B$5</f>
        <v>1267.3391504862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.75">
      <c r="A7" s="5" t="s">
        <v>321</v>
      </c>
      <c r="B7" s="5" t="s">
        <v>315</v>
      </c>
      <c r="C7" s="14">
        <v>3.8300000000000001E-2</v>
      </c>
      <c r="D7" s="12">
        <f>C7*'01_Параметры'!$B$12</f>
        <v>964.76436100000012</v>
      </c>
      <c r="E7" s="5" t="s">
        <v>203</v>
      </c>
      <c r="F7" s="15">
        <v>0.7</v>
      </c>
      <c r="G7" s="12">
        <f t="shared" si="0"/>
        <v>675.33505270000001</v>
      </c>
      <c r="H7" s="5" t="s">
        <v>322</v>
      </c>
      <c r="I7" s="5" t="s">
        <v>201</v>
      </c>
      <c r="J7" s="5" t="s">
        <v>403</v>
      </c>
      <c r="K7" s="5">
        <f>D7*'03_Каналы'!$B$5</f>
        <v>467.62128577670001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2.75">
      <c r="A8" s="5" t="s">
        <v>323</v>
      </c>
      <c r="B8" s="5" t="s">
        <v>315</v>
      </c>
      <c r="C8" s="14">
        <v>1.9099999999999999E-2</v>
      </c>
      <c r="D8" s="12">
        <f>C8*'01_Параметры'!$B$12</f>
        <v>481.12269700000002</v>
      </c>
      <c r="E8" s="5" t="s">
        <v>203</v>
      </c>
      <c r="F8" s="15">
        <v>0.7</v>
      </c>
      <c r="G8" s="12">
        <f t="shared" si="0"/>
        <v>336.78588789999998</v>
      </c>
      <c r="H8" s="5" t="s">
        <v>324</v>
      </c>
      <c r="I8" s="5" t="s">
        <v>201</v>
      </c>
      <c r="J8" s="5" t="s">
        <v>404</v>
      </c>
      <c r="K8" s="5">
        <f>D8*'03_Каналы'!$B$5</f>
        <v>233.2001712359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.75">
      <c r="A9" s="5" t="s">
        <v>325</v>
      </c>
      <c r="B9" s="5" t="s">
        <v>315</v>
      </c>
      <c r="C9" s="14">
        <v>1.4999999999999999E-2</v>
      </c>
      <c r="D9" s="12">
        <f>C9*'01_Параметры'!$B$12</f>
        <v>377.84505000000001</v>
      </c>
      <c r="E9" s="5" t="s">
        <v>202</v>
      </c>
      <c r="F9" s="15">
        <v>0.6</v>
      </c>
      <c r="G9" s="12">
        <f t="shared" si="0"/>
        <v>226.70703</v>
      </c>
      <c r="H9" s="5" t="s">
        <v>326</v>
      </c>
      <c r="I9" s="5" t="s">
        <v>201</v>
      </c>
      <c r="J9" s="5" t="s">
        <v>405</v>
      </c>
      <c r="K9" s="5">
        <f>D9*'03_Каналы'!$B$5</f>
        <v>183.14149573500001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2.75">
      <c r="A10" s="5" t="s">
        <v>327</v>
      </c>
      <c r="B10" s="5" t="s">
        <v>315</v>
      </c>
      <c r="C10" s="14">
        <v>0.80740000000000001</v>
      </c>
      <c r="D10" s="12">
        <f>C10*'01_Параметры'!$B$12</f>
        <v>20338.139558000003</v>
      </c>
      <c r="E10" s="5" t="s">
        <v>204</v>
      </c>
      <c r="F10" s="15">
        <v>0.1</v>
      </c>
      <c r="G10" s="12">
        <f t="shared" si="0"/>
        <v>2033.8139558000003</v>
      </c>
      <c r="H10" s="5" t="s">
        <v>326</v>
      </c>
      <c r="I10" s="5" t="s">
        <v>440</v>
      </c>
      <c r="J10" s="5" t="s">
        <v>406</v>
      </c>
      <c r="K10" s="5">
        <f>D10*'03_Каналы'!$B$5</f>
        <v>9857.8962437625996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71.25">
      <c r="A12" s="5" t="s">
        <v>419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2" width="55.625" customWidth="1"/>
    <col min="3" max="3" width="32.625" customWidth="1"/>
    <col min="4" max="4" width="42.625" customWidth="1"/>
    <col min="5" max="5" width="47.625" customWidth="1"/>
    <col min="6" max="6" width="40.625" customWidth="1"/>
    <col min="7" max="7" width="23.625" customWidth="1"/>
    <col min="8" max="10" width="18" customWidth="1"/>
    <col min="11" max="26" width="9.625" customWidth="1"/>
  </cols>
  <sheetData>
    <row r="1" spans="1:26" ht="15" customHeight="1">
      <c r="A1" s="27" t="s">
        <v>205</v>
      </c>
      <c r="B1" s="27"/>
      <c r="C1" s="27"/>
      <c r="D1" s="27"/>
      <c r="E1" s="27"/>
      <c r="F1" s="27"/>
      <c r="G1" s="27"/>
      <c r="H1" s="27"/>
      <c r="I1" s="27"/>
      <c r="J1" s="2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28" t="s">
        <v>206</v>
      </c>
      <c r="B3" s="28"/>
      <c r="C3" s="28"/>
      <c r="D3" s="28"/>
      <c r="E3" s="28"/>
      <c r="F3" s="28"/>
      <c r="G3" s="28"/>
      <c r="H3" s="28"/>
      <c r="I3" s="28"/>
      <c r="J3" s="2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>
      <c r="A4" s="9" t="s">
        <v>207</v>
      </c>
      <c r="B4" s="9" t="s">
        <v>115</v>
      </c>
      <c r="C4" s="9" t="s">
        <v>420</v>
      </c>
      <c r="D4" s="9" t="s">
        <v>208</v>
      </c>
      <c r="E4" s="9" t="s">
        <v>209</v>
      </c>
      <c r="F4" s="9" t="s">
        <v>210</v>
      </c>
      <c r="G4" s="9" t="s">
        <v>211</v>
      </c>
      <c r="H4" s="9" t="s">
        <v>421</v>
      </c>
      <c r="I4" s="9" t="s">
        <v>422</v>
      </c>
      <c r="J4" s="9" t="s">
        <v>212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213</v>
      </c>
      <c r="B5" s="13">
        <v>0.8</v>
      </c>
      <c r="C5" s="12">
        <f>IFERROR('01_Параметры'!$B$9/B5,0)</f>
        <v>22040.96125</v>
      </c>
      <c r="D5" s="14">
        <v>8.0000000000000002E-3</v>
      </c>
      <c r="E5" s="14">
        <v>0.03</v>
      </c>
      <c r="F5" s="17">
        <v>121.14</v>
      </c>
      <c r="G5" s="15">
        <v>1</v>
      </c>
      <c r="H5" s="12">
        <f>C5*D5*E5</f>
        <v>5.2898307000000004</v>
      </c>
      <c r="I5" s="17">
        <f>H5*F5</f>
        <v>640.81009099800008</v>
      </c>
      <c r="J5" s="17">
        <f>I5*12*G5</f>
        <v>7689.7210919760009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214</v>
      </c>
      <c r="B6" s="13">
        <v>0.7</v>
      </c>
      <c r="C6" s="12">
        <f>IFERROR('01_Параметры'!$B$9/B6,0)</f>
        <v>25189.670000000002</v>
      </c>
      <c r="D6" s="14">
        <v>1.4999999999999999E-2</v>
      </c>
      <c r="E6" s="14">
        <v>0.04</v>
      </c>
      <c r="F6" s="17">
        <v>121.14</v>
      </c>
      <c r="G6" s="15">
        <v>1</v>
      </c>
      <c r="H6" s="12">
        <f>C6*D6*E6</f>
        <v>15.113802000000002</v>
      </c>
      <c r="I6" s="17">
        <f>H6*F6</f>
        <v>1830.8859742800003</v>
      </c>
      <c r="J6" s="17">
        <f>I6*12*G6</f>
        <v>21970.631691360002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215</v>
      </c>
      <c r="B7" s="13">
        <v>0.55000000000000004</v>
      </c>
      <c r="C7" s="12">
        <f>IFERROR('01_Параметры'!$B$9/B7,0)</f>
        <v>32059.579999999998</v>
      </c>
      <c r="D7" s="14">
        <v>2.5000000000000001E-2</v>
      </c>
      <c r="E7" s="14">
        <v>0.05</v>
      </c>
      <c r="F7" s="17">
        <v>290.74</v>
      </c>
      <c r="G7" s="15">
        <v>1</v>
      </c>
      <c r="H7" s="12">
        <f>C7*D7*E7</f>
        <v>40.074475000000007</v>
      </c>
      <c r="I7" s="17">
        <f>H7*F7</f>
        <v>11651.252861500003</v>
      </c>
      <c r="J7" s="17">
        <f>I7*12*G7</f>
        <v>139815.03433800003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>
      <c r="A10" s="28" t="s">
        <v>216</v>
      </c>
      <c r="B10" s="28"/>
      <c r="C10" s="28"/>
      <c r="D10" s="28"/>
      <c r="E10" s="28"/>
      <c r="F10" s="28"/>
      <c r="G10" s="28"/>
      <c r="H10" s="28"/>
      <c r="I10" s="28"/>
      <c r="J10" s="2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">
      <c r="A11" s="9" t="s">
        <v>207</v>
      </c>
      <c r="B11" s="9" t="s">
        <v>217</v>
      </c>
      <c r="C11" s="9" t="s">
        <v>218</v>
      </c>
      <c r="D11" s="9" t="s">
        <v>219</v>
      </c>
      <c r="E11" s="9" t="s">
        <v>97</v>
      </c>
      <c r="F11" s="9" t="s">
        <v>160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213</v>
      </c>
      <c r="B12" s="17">
        <f>J5</f>
        <v>7689.7210919760009</v>
      </c>
      <c r="C12" s="14">
        <v>5.0000000000000001E-3</v>
      </c>
      <c r="D12" s="17">
        <f>B12*C12</f>
        <v>38.448605459880007</v>
      </c>
      <c r="E12" s="5" t="s">
        <v>220</v>
      </c>
      <c r="F12" s="5" t="s">
        <v>221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214</v>
      </c>
      <c r="B13" s="17">
        <f>J6</f>
        <v>21970.631691360002</v>
      </c>
      <c r="C13" s="14">
        <v>1.4999999999999999E-2</v>
      </c>
      <c r="D13" s="17">
        <f>B13*C13</f>
        <v>329.55947537040004</v>
      </c>
      <c r="E13" s="5" t="s">
        <v>222</v>
      </c>
      <c r="F13" s="5" t="s">
        <v>223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215</v>
      </c>
      <c r="B14" s="17">
        <f>J7</f>
        <v>139815.03433800003</v>
      </c>
      <c r="C14" s="14">
        <v>3.5000000000000003E-2</v>
      </c>
      <c r="D14" s="17">
        <f>B14*C14</f>
        <v>4893.5262018300018</v>
      </c>
      <c r="E14" s="5" t="s">
        <v>224</v>
      </c>
      <c r="F14" s="5" t="s">
        <v>225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>
      <c r="A17" s="28" t="s">
        <v>226</v>
      </c>
      <c r="B17" s="28"/>
      <c r="C17" s="28"/>
      <c r="D17" s="28"/>
      <c r="E17" s="28"/>
      <c r="F17" s="28"/>
      <c r="G17" s="28"/>
      <c r="H17" s="28"/>
      <c r="I17" s="28"/>
      <c r="J17" s="2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8.5">
      <c r="A18" s="10" t="s">
        <v>423</v>
      </c>
      <c r="B18" s="10"/>
      <c r="C18" s="10"/>
      <c r="D18" s="10"/>
      <c r="E18" s="10"/>
      <c r="F18" s="10"/>
      <c r="G18" s="10"/>
      <c r="H18" s="10"/>
      <c r="I18" s="10"/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0" t="s">
        <v>227</v>
      </c>
      <c r="B19" s="17"/>
      <c r="C19" s="17" t="s">
        <v>228</v>
      </c>
      <c r="D19" s="17"/>
      <c r="E19" s="17" t="s">
        <v>229</v>
      </c>
      <c r="F19" s="17"/>
      <c r="G19" s="10" t="s">
        <v>230</v>
      </c>
      <c r="H19" s="10" t="s">
        <v>231</v>
      </c>
      <c r="I19" s="10"/>
      <c r="J19" s="1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10" t="str">
        <f>A12</f>
        <v>Осторожный</v>
      </c>
      <c r="B20" s="17">
        <f>D12</f>
        <v>38.448605459880007</v>
      </c>
      <c r="C20" s="17" t="str">
        <f>A13</f>
        <v>Базовый</v>
      </c>
      <c r="D20" s="17">
        <f>D13</f>
        <v>329.55947537040004</v>
      </c>
      <c r="E20" s="17" t="str">
        <f>A14</f>
        <v>Оптимистичный</v>
      </c>
      <c r="F20" s="17">
        <f>D14</f>
        <v>4893.5262018300018</v>
      </c>
      <c r="G20" s="10"/>
      <c r="H20" s="10"/>
      <c r="I20" s="10"/>
      <c r="J20" s="1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10" t="s">
        <v>232</v>
      </c>
      <c r="B21" s="17">
        <f>J5</f>
        <v>7689.7210919760009</v>
      </c>
      <c r="C21" s="17" t="s">
        <v>233</v>
      </c>
      <c r="D21" s="17">
        <f>J6</f>
        <v>21970.631691360002</v>
      </c>
      <c r="E21" s="17" t="s">
        <v>234</v>
      </c>
      <c r="F21" s="17">
        <f>J7</f>
        <v>139815.03433800003</v>
      </c>
      <c r="G21" s="10"/>
      <c r="H21" s="10"/>
      <c r="I21" s="10"/>
      <c r="J21" s="1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57">
      <c r="A22" s="10" t="s">
        <v>235</v>
      </c>
      <c r="B22" s="10" t="str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– от "&amp;TEXT(D12,"# ##0")&amp;" до "&amp;TEXT(D14,"# ##0")&amp;" руб. в год."</f>
        <v>При заданных допущениях годовой объем цифрового рынка оценивается в диапазоне от 7 690 до 139 815 руб., а достижимая выручка нового бизнеса – от  38 до 4 894 руб. в год.</v>
      </c>
      <c r="C22" s="10"/>
      <c r="D22" s="10"/>
      <c r="E22" s="10"/>
      <c r="F22" s="10"/>
      <c r="G22" s="10"/>
      <c r="H22" s="10"/>
      <c r="I22" s="10"/>
      <c r="J22" s="1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4.2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30" customHeight="1">
      <c r="A1" s="27" t="s">
        <v>236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6" customHeight="1">
      <c r="A3" s="28" t="s">
        <v>237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85.5">
      <c r="A4" s="18" t="s">
        <v>238</v>
      </c>
      <c r="B4" s="19" t="str">
        <f>'01_Параметры'!B4</f>
        <v>Веб-инструменты построения и проверки диаграмм формальных нотаций (UML, BPMN, ERD, IDEF, DFD) для студентов и специалистов по ПО</v>
      </c>
      <c r="C4" s="18" t="s">
        <v>239</v>
      </c>
      <c r="D4" s="19" t="str">
        <f>'01_Параметры'!B5</f>
        <v>Республика Беларусь</v>
      </c>
      <c r="E4" s="18" t="s">
        <v>240</v>
      </c>
      <c r="F4" s="19">
        <f>'01_Параметры'!B8</f>
        <v>4</v>
      </c>
      <c r="G4" s="18" t="s">
        <v>424</v>
      </c>
      <c r="H4" s="20">
        <f>'01_Параметры'!B9</f>
        <v>17632.769</v>
      </c>
      <c r="I4" s="21" t="s">
        <v>425</v>
      </c>
      <c r="J4" s="20">
        <f>'01_Параметры'!B12</f>
        <v>25189.670000000002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>
      <c r="A5" s="18" t="s">
        <v>241</v>
      </c>
      <c r="B5" s="22">
        <f>'06_Воронка_сценарии'!J5</f>
        <v>7689.7210919760009</v>
      </c>
      <c r="C5" s="23" t="s">
        <v>242</v>
      </c>
      <c r="D5" s="22">
        <f>'06_Воронка_сценарии'!J6</f>
        <v>21970.631691360002</v>
      </c>
      <c r="E5" s="23" t="s">
        <v>243</v>
      </c>
      <c r="F5" s="22">
        <f>'06_Воронка_сценарии'!J7</f>
        <v>139815.03433800003</v>
      </c>
      <c r="G5" s="23" t="s">
        <v>244</v>
      </c>
      <c r="H5" s="22">
        <f>'06_Воронка_сценарии'!D13</f>
        <v>329.55947537040004</v>
      </c>
      <c r="I5" s="18" t="s">
        <v>245</v>
      </c>
      <c r="J5" s="19" t="str">
        <f>INDEX('03_Каналы'!A4:A9,MATCH(MAX('03_Каналы'!B4:B9),'03_Каналы'!B4:B9,0))</f>
        <v>Organic search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>
      <c r="A6" s="18" t="s">
        <v>246</v>
      </c>
      <c r="B6" s="19" t="str">
        <f>INDEX('02_Конкуренты_SW'!B4:B7,MATCH(MAX('02_Конкуренты_SW'!G4:G7),'02_Конкуренты_SW'!G4:G7,0))</f>
        <v>draw.io (diagrams.net)</v>
      </c>
      <c r="C6" s="18" t="s">
        <v>247</v>
      </c>
      <c r="D6" s="24">
        <f>MAX('02_Конкуренты_SW'!I4:I7)</f>
        <v>0.86613736050191559</v>
      </c>
      <c r="E6" s="18" t="s">
        <v>248</v>
      </c>
      <c r="F6" s="19" t="str">
        <f>INDEX('05_Запросы'!A4:A10,MATCH(MAX('05_Запросы'!G4:G10),'05_Запросы'!G4:G10,0))</f>
        <v>uml</v>
      </c>
      <c r="G6" s="18" t="s">
        <v>249</v>
      </c>
      <c r="H6" s="20">
        <f>MAX('05_Запросы'!G4:G10)</f>
        <v>2033.8139558000003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99.75">
      <c r="A7" s="18" t="s">
        <v>250</v>
      </c>
      <c r="B7" s="19" t="str">
        <f>'06_Воронка_сценарии'!B22</f>
        <v>При заданных допущениях годовой объем цифрового рынка оценивается в диапазоне от 7 690 до 139 815 руб., а достижимая выручка нового бизнеса – от  38 до 4 894 руб. в год.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>
      <c r="A10" s="9" t="s">
        <v>207</v>
      </c>
      <c r="B10" s="9" t="s">
        <v>251</v>
      </c>
      <c r="C10" s="9" t="s">
        <v>252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213</v>
      </c>
      <c r="B11" s="17">
        <f>'06_Воронка_сценарии'!J5</f>
        <v>7689.7210919760009</v>
      </c>
      <c r="C11" s="17">
        <f>'06_Воронка_сценарии'!D12</f>
        <v>38.448605459880007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214</v>
      </c>
      <c r="B12" s="17">
        <f>'06_Воронка_сценарии'!J6</f>
        <v>21970.631691360002</v>
      </c>
      <c r="C12" s="17">
        <f>'06_Воронка_сценарии'!D13</f>
        <v>329.55947537040004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215</v>
      </c>
      <c r="B13" s="17">
        <f>'06_Воронка_сценарии'!J7</f>
        <v>139815.03433800003</v>
      </c>
      <c r="C13" s="17">
        <f>'06_Воронка_сценарии'!D14</f>
        <v>4893.5262018300018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>
      <c r="A16" s="9" t="s">
        <v>154</v>
      </c>
      <c r="B16" s="9" t="s">
        <v>253</v>
      </c>
      <c r="C16" s="9" t="s">
        <v>426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144</v>
      </c>
      <c r="B17" s="14">
        <f>'03_Каналы'!B4</f>
        <v>0</v>
      </c>
      <c r="C17" s="12">
        <f>'03_Каналы'!C4</f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 t="s">
        <v>145</v>
      </c>
      <c r="B18" s="14">
        <f>'03_Каналы'!B5</f>
        <v>0.48469999999999996</v>
      </c>
      <c r="C18" s="12">
        <f>'03_Каналы'!C5</f>
        <v>12209.433048999999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 t="s">
        <v>146</v>
      </c>
      <c r="B19" s="14">
        <f>'03_Каналы'!B6</f>
        <v>0</v>
      </c>
      <c r="C19" s="12">
        <f>'03_Каналы'!C6</f>
        <v>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 t="s">
        <v>147</v>
      </c>
      <c r="B20" s="14">
        <f>'03_Каналы'!B7</f>
        <v>0</v>
      </c>
      <c r="C20" s="12">
        <f>'03_Каналы'!C7</f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 t="s">
        <v>148</v>
      </c>
      <c r="B21" s="14">
        <f>'03_Каналы'!B8</f>
        <v>0</v>
      </c>
      <c r="C21" s="12">
        <f>'03_Каналы'!C8</f>
        <v>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 t="s">
        <v>149</v>
      </c>
      <c r="B22" s="14">
        <f>'03_Каналы'!B9</f>
        <v>0</v>
      </c>
      <c r="C22" s="12">
        <f>'03_Каналы'!C9</f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4"/>
  <sheetViews>
    <sheetView workbookViewId="0"/>
  </sheetViews>
  <sheetFormatPr defaultRowHeight="14.25"/>
  <cols>
    <col min="1" max="3" width="55.625" customWidth="1"/>
    <col min="4" max="4" width="60.625" customWidth="1"/>
    <col min="5" max="5" width="16" customWidth="1"/>
    <col min="6" max="6" width="55.625" customWidth="1"/>
    <col min="7" max="26" width="9.625" customWidth="1"/>
  </cols>
  <sheetData>
    <row r="1" spans="1:26">
      <c r="A1" s="27" t="s">
        <v>254</v>
      </c>
      <c r="B1" s="27"/>
      <c r="C1" s="27"/>
      <c r="D1" s="27"/>
      <c r="E1" s="27"/>
      <c r="F1" s="2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9" t="s">
        <v>194</v>
      </c>
      <c r="B3" s="9" t="s">
        <v>255</v>
      </c>
      <c r="C3" s="9" t="s">
        <v>256</v>
      </c>
      <c r="D3" s="9" t="s">
        <v>257</v>
      </c>
      <c r="E3" s="9" t="s">
        <v>258</v>
      </c>
      <c r="F3" s="9" t="s">
        <v>160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5">
      <c r="A4" s="5" t="s">
        <v>259</v>
      </c>
      <c r="B4" s="5" t="s">
        <v>260</v>
      </c>
      <c r="C4" s="5" t="s">
        <v>261</v>
      </c>
      <c r="D4" s="5" t="s">
        <v>262</v>
      </c>
      <c r="E4" s="25" t="s">
        <v>407</v>
      </c>
      <c r="F4" s="5" t="s">
        <v>263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.5">
      <c r="A5" s="5" t="s">
        <v>264</v>
      </c>
      <c r="B5" s="5" t="s">
        <v>265</v>
      </c>
      <c r="C5" s="5" t="s">
        <v>266</v>
      </c>
      <c r="D5" s="5" t="s">
        <v>267</v>
      </c>
      <c r="E5" s="25" t="s">
        <v>407</v>
      </c>
      <c r="F5" s="5" t="s">
        <v>268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8.5">
      <c r="A6" s="5" t="s">
        <v>269</v>
      </c>
      <c r="B6" s="5" t="s">
        <v>270</v>
      </c>
      <c r="C6" s="5" t="s">
        <v>271</v>
      </c>
      <c r="D6" s="5" t="s">
        <v>272</v>
      </c>
      <c r="E6" s="25" t="s">
        <v>407</v>
      </c>
      <c r="F6" s="5" t="s">
        <v>273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274</v>
      </c>
      <c r="B7" s="5" t="s">
        <v>275</v>
      </c>
      <c r="C7" s="5" t="s">
        <v>276</v>
      </c>
      <c r="D7" s="5" t="s">
        <v>277</v>
      </c>
      <c r="E7" s="25" t="s">
        <v>407</v>
      </c>
      <c r="F7" s="5" t="s">
        <v>278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279</v>
      </c>
      <c r="B8" s="5" t="s">
        <v>280</v>
      </c>
      <c r="C8" s="5" t="s">
        <v>281</v>
      </c>
      <c r="D8" s="5" t="s">
        <v>282</v>
      </c>
      <c r="E8" s="25" t="s">
        <v>407</v>
      </c>
      <c r="F8" s="5" t="s">
        <v>283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8.5">
      <c r="A9" s="5" t="s">
        <v>284</v>
      </c>
      <c r="B9" s="5" t="s">
        <v>285</v>
      </c>
      <c r="C9" s="5" t="s">
        <v>286</v>
      </c>
      <c r="D9" s="5" t="s">
        <v>287</v>
      </c>
      <c r="E9" s="25" t="s">
        <v>407</v>
      </c>
      <c r="F9" s="5" t="s">
        <v>288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>
      <c r="A12" s="28" t="s">
        <v>289</v>
      </c>
      <c r="B12" s="28"/>
      <c r="C12" s="28"/>
      <c r="D12" s="28"/>
      <c r="E12" s="28"/>
      <c r="F12" s="2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>
      <c r="A13" s="9" t="s">
        <v>290</v>
      </c>
      <c r="B13" s="9" t="s">
        <v>291</v>
      </c>
      <c r="C13" s="9" t="s">
        <v>292</v>
      </c>
      <c r="D13" s="9" t="s">
        <v>293</v>
      </c>
      <c r="E13" s="9" t="s">
        <v>95</v>
      </c>
      <c r="F13" s="9" t="s">
        <v>294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2.75">
      <c r="A14" s="11">
        <v>46294.875</v>
      </c>
      <c r="B14" s="5" t="s">
        <v>297</v>
      </c>
      <c r="C14" s="5" t="s">
        <v>329</v>
      </c>
      <c r="D14" s="5" t="s">
        <v>330</v>
      </c>
      <c r="E14" s="5">
        <v>507000</v>
      </c>
      <c r="F14" s="5" t="s">
        <v>331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1">
        <v>46294.875</v>
      </c>
      <c r="B15" s="5" t="s">
        <v>297</v>
      </c>
      <c r="C15" s="5" t="s">
        <v>329</v>
      </c>
      <c r="D15" s="5" t="s">
        <v>332</v>
      </c>
      <c r="E15" s="5">
        <v>93517</v>
      </c>
      <c r="F15" s="5" t="s">
        <v>333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8.5">
      <c r="A16" s="11">
        <v>46294.875</v>
      </c>
      <c r="B16" s="5" t="s">
        <v>297</v>
      </c>
      <c r="C16" s="5" t="s">
        <v>334</v>
      </c>
      <c r="D16" s="5" t="s">
        <v>335</v>
      </c>
      <c r="E16" s="5">
        <v>9.0700000000000003E-2</v>
      </c>
      <c r="F16" s="5" t="s">
        <v>336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1">
        <v>46294.875</v>
      </c>
      <c r="B17" s="5" t="s">
        <v>297</v>
      </c>
      <c r="C17" s="5" t="s">
        <v>337</v>
      </c>
      <c r="D17" s="5" t="s">
        <v>338</v>
      </c>
      <c r="E17" s="5">
        <v>0.48470000000000002</v>
      </c>
      <c r="F17" s="5" t="s">
        <v>408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11">
        <v>46294.875</v>
      </c>
      <c r="B18" s="5" t="s">
        <v>297</v>
      </c>
      <c r="C18" s="5" t="s">
        <v>339</v>
      </c>
      <c r="D18" s="5" t="s">
        <v>141</v>
      </c>
      <c r="E18" s="5">
        <v>0.45519999999999999</v>
      </c>
      <c r="F18" s="5" t="s">
        <v>340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8.5">
      <c r="A19" s="26">
        <v>46294.875</v>
      </c>
      <c r="B19" s="5" t="s">
        <v>300</v>
      </c>
      <c r="C19" s="5" t="s">
        <v>329</v>
      </c>
      <c r="D19" s="5" t="s">
        <v>341</v>
      </c>
      <c r="E19" s="5" t="s">
        <v>342</v>
      </c>
      <c r="F19" s="5" t="s">
        <v>409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26">
        <v>46294.875</v>
      </c>
      <c r="B20" s="5" t="s">
        <v>343</v>
      </c>
      <c r="C20" s="5" t="s">
        <v>329</v>
      </c>
      <c r="D20" s="5" t="s">
        <v>341</v>
      </c>
      <c r="E20" s="5" t="s">
        <v>342</v>
      </c>
      <c r="F20" s="5" t="s">
        <v>344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2.75">
      <c r="A21" s="26">
        <v>46294.875</v>
      </c>
      <c r="B21" s="5" t="s">
        <v>345</v>
      </c>
      <c r="C21" s="5" t="s">
        <v>329</v>
      </c>
      <c r="D21" s="5" t="s">
        <v>341</v>
      </c>
      <c r="E21" s="5" t="s">
        <v>342</v>
      </c>
      <c r="F21" s="5" t="s">
        <v>427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85.5">
      <c r="A24" s="5" t="s">
        <v>441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11_Вариант_М2</vt:lpstr>
      <vt:lpstr>10_TAM_SAM_SOM_М1</vt:lpstr>
      <vt:lpstr>09_Концентрация</vt:lpstr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2026-10-04T16:53:21Z</dcterms:created>
  <dcterms:modified xsi:type="dcterms:W3CDTF">2026-10-04T19:29:56Z</dcterms:modified>
</cp:coreProperties>
</file>