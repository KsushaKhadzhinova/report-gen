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E:\ИИТ\ЭлектронныйБизнес\СДАЧА\ЛР2-3\"/>
    </mc:Choice>
  </mc:AlternateContent>
  <xr:revisionPtr revIDLastSave="0" documentId="13_ncr:1_{FDA77909-7D31-44EF-B423-3F868541D849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00_Методика" sheetId="1" r:id="rId1"/>
    <sheet name="01_Параметры" sheetId="2" r:id="rId2"/>
    <sheet name="02_Семантика" sheetId="3" r:id="rId3"/>
    <sheet name="03_Google_Trends" sheetId="4" r:id="rId4"/>
    <sheet name="04_Wordstat" sheetId="5" r:id="rId5"/>
    <sheet name="05_Нормализация" sheetId="6" r:id="rId6"/>
    <sheet name="06_Воронка" sheetId="7" r:id="rId7"/>
    <sheet name="07_Сценарии" sheetId="8" r:id="rId8"/>
    <sheet name="08_Дашборд" sheetId="9" r:id="rId9"/>
    <sheet name="09_Источники" sheetId="10" r:id="rId10"/>
  </sheets>
  <calcPr calcId="191029" refMode="R1C1"/>
</workbook>
</file>

<file path=xl/calcChain.xml><?xml version="1.0" encoding="utf-8"?>
<calcChain xmlns="http://schemas.openxmlformats.org/spreadsheetml/2006/main">
  <c r="E6" i="8" l="1"/>
  <c r="E5" i="8"/>
  <c r="E4" i="8"/>
  <c r="A15" i="6"/>
  <c r="A14" i="6"/>
  <c r="A13" i="6"/>
  <c r="A12" i="6"/>
  <c r="A11" i="6"/>
  <c r="A10" i="6"/>
  <c r="A9" i="6"/>
  <c r="A8" i="6"/>
  <c r="A7" i="6"/>
  <c r="A6" i="6"/>
  <c r="A5" i="6"/>
  <c r="A4" i="6"/>
  <c r="F15" i="5"/>
  <c r="G15" i="5" s="1"/>
  <c r="F14" i="5"/>
  <c r="G14" i="5" s="1"/>
  <c r="F13" i="5"/>
  <c r="G13" i="5" s="1"/>
  <c r="F12" i="5"/>
  <c r="G12" i="5" s="1"/>
  <c r="F11" i="5"/>
  <c r="G11" i="5" s="1"/>
  <c r="F10" i="5"/>
  <c r="G10" i="5" s="1"/>
  <c r="F9" i="5"/>
  <c r="G9" i="5" s="1"/>
  <c r="F8" i="5"/>
  <c r="G8" i="5" s="1"/>
  <c r="F7" i="5"/>
  <c r="G7" i="5" s="1"/>
  <c r="F6" i="5"/>
  <c r="G6" i="5" s="1"/>
  <c r="F5" i="5"/>
  <c r="G5" i="5" s="1"/>
  <c r="F4" i="5"/>
  <c r="G4" i="5" s="1"/>
  <c r="F15" i="4"/>
  <c r="B15" i="6" s="1"/>
  <c r="F14" i="4"/>
  <c r="B14" i="6" s="1"/>
  <c r="F13" i="4"/>
  <c r="B13" i="6" s="1"/>
  <c r="F12" i="4"/>
  <c r="B12" i="6" s="1"/>
  <c r="F11" i="4"/>
  <c r="B11" i="6" s="1"/>
  <c r="F10" i="4"/>
  <c r="B10" i="6" s="1"/>
  <c r="F9" i="4"/>
  <c r="B9" i="6" s="1"/>
  <c r="F8" i="4"/>
  <c r="B8" i="6" s="1"/>
  <c r="F7" i="4"/>
  <c r="B7" i="6" s="1"/>
  <c r="F6" i="4"/>
  <c r="B6" i="6" s="1"/>
  <c r="F5" i="4"/>
  <c r="B5" i="6" s="1"/>
  <c r="F4" i="4"/>
  <c r="B4" i="6" s="1"/>
  <c r="J13" i="3"/>
  <c r="J12" i="3"/>
  <c r="J11" i="3"/>
  <c r="J10" i="3"/>
  <c r="J9" i="3"/>
  <c r="J8" i="3"/>
  <c r="J7" i="3"/>
  <c r="J6" i="3"/>
  <c r="J5" i="3"/>
  <c r="J4" i="3"/>
  <c r="H15" i="5" l="1"/>
  <c r="D15" i="6" s="1"/>
  <c r="H14" i="5"/>
  <c r="D14" i="6" s="1"/>
  <c r="H13" i="5"/>
  <c r="D13" i="6" s="1"/>
  <c r="H12" i="5"/>
  <c r="D12" i="6" s="1"/>
  <c r="H11" i="5"/>
  <c r="D11" i="6" s="1"/>
  <c r="H10" i="5"/>
  <c r="D10" i="6" s="1"/>
  <c r="H9" i="5"/>
  <c r="D9" i="6" s="1"/>
  <c r="H8" i="5"/>
  <c r="D8" i="6" s="1"/>
  <c r="H7" i="5"/>
  <c r="H6" i="5"/>
  <c r="D6" i="6" s="1"/>
  <c r="H5" i="5"/>
  <c r="D5" i="6" s="1"/>
  <c r="H4" i="5"/>
  <c r="D4" i="6" s="1"/>
  <c r="C9" i="6"/>
  <c r="C8" i="6"/>
  <c r="C7" i="6"/>
  <c r="C6" i="6"/>
  <c r="C5" i="6"/>
  <c r="C4" i="6"/>
  <c r="C10" i="6"/>
  <c r="C11" i="6"/>
  <c r="C12" i="6"/>
  <c r="C13" i="6"/>
  <c r="C14" i="6"/>
  <c r="C15" i="6"/>
  <c r="D7" i="6" l="1"/>
  <c r="B6" i="9"/>
  <c r="C4" i="7"/>
  <c r="C6" i="7" s="1"/>
  <c r="D4" i="7"/>
  <c r="D6" i="7" s="1"/>
  <c r="B4" i="7"/>
  <c r="B6" i="7" s="1"/>
  <c r="E4" i="6" l="1"/>
  <c r="F4" i="6" s="1"/>
  <c r="G4" i="6" s="1"/>
  <c r="E6" i="6"/>
  <c r="F6" i="6" s="1"/>
  <c r="G6" i="6" s="1"/>
  <c r="E5" i="6"/>
  <c r="F5" i="6" s="1"/>
  <c r="G5" i="6" s="1"/>
  <c r="E7" i="6"/>
  <c r="F7" i="6" s="1"/>
  <c r="G7" i="6" s="1"/>
  <c r="E8" i="6"/>
  <c r="F8" i="6" s="1"/>
  <c r="G8" i="6" s="1"/>
  <c r="E9" i="6"/>
  <c r="F9" i="6" s="1"/>
  <c r="G9" i="6" s="1"/>
  <c r="E12" i="6"/>
  <c r="F12" i="6" s="1"/>
  <c r="G12" i="6" s="1"/>
  <c r="E15" i="6"/>
  <c r="F15" i="6" s="1"/>
  <c r="G15" i="6" s="1"/>
  <c r="E10" i="6"/>
  <c r="F10" i="6" s="1"/>
  <c r="E11" i="6"/>
  <c r="F11" i="6" s="1"/>
  <c r="G11" i="6" s="1"/>
  <c r="E13" i="6"/>
  <c r="F13" i="6" s="1"/>
  <c r="G13" i="6" s="1"/>
  <c r="E14" i="6"/>
  <c r="F14" i="6" s="1"/>
  <c r="G14" i="6" s="1"/>
  <c r="C8" i="7"/>
  <c r="B5" i="8"/>
  <c r="D8" i="7"/>
  <c r="B6" i="8"/>
  <c r="B8" i="7"/>
  <c r="B4" i="8"/>
  <c r="G10" i="6" l="1"/>
  <c r="B4" i="9"/>
  <c r="B10" i="9" s="1"/>
  <c r="B5" i="9"/>
  <c r="D10" i="7"/>
  <c r="C6" i="8"/>
  <c r="C4" i="8"/>
  <c r="B10" i="7"/>
  <c r="C5" i="8"/>
  <c r="C10" i="7"/>
  <c r="D13" i="7" l="1"/>
  <c r="D6" i="8"/>
  <c r="B13" i="7"/>
  <c r="D4" i="8"/>
  <c r="C13" i="7"/>
  <c r="B7" i="9" s="1"/>
  <c r="D5" i="8"/>
  <c r="F4" i="8" l="1"/>
  <c r="B14" i="7"/>
  <c r="D14" i="7"/>
  <c r="G6" i="8" s="1"/>
  <c r="F6" i="8"/>
  <c r="F5" i="8"/>
  <c r="C14" i="7"/>
  <c r="B9" i="9" l="1"/>
  <c r="B8" i="9"/>
  <c r="G5" i="8"/>
  <c r="G4" i="8"/>
</calcChain>
</file>

<file path=xl/sharedStrings.xml><?xml version="1.0" encoding="utf-8"?>
<sst xmlns="http://schemas.openxmlformats.org/spreadsheetml/2006/main" count="301" uniqueCount="208">
  <si>
    <t>Excel-шаблон: оценка объема рынка через поисковый спрос</t>
  </si>
  <si>
    <t>Назначение</t>
  </si>
  <si>
    <t>Логика</t>
  </si>
  <si>
    <t>Ключевое ограничение</t>
  </si>
  <si>
    <t>Источники данных</t>
  </si>
  <si>
    <t>Как работать</t>
  </si>
  <si>
    <t>Порядок заполнения</t>
  </si>
  <si>
    <t>№</t>
  </si>
  <si>
    <t>Действие</t>
  </si>
  <si>
    <t>Лист</t>
  </si>
  <si>
    <t>Заполнить параметры рынка и конверсий</t>
  </si>
  <si>
    <t>01_Параметры</t>
  </si>
  <si>
    <t>Внести запросы, группы и намерения аудитории</t>
  </si>
  <si>
    <t>02_Семантика</t>
  </si>
  <si>
    <t>Внести выгрузку Google Trends по месяцам</t>
  </si>
  <si>
    <t>03_Google_Trends</t>
  </si>
  <si>
    <t>Внести данные Яндекс Вордстат по частотности</t>
  </si>
  <si>
    <t>04_Wordstat</t>
  </si>
  <si>
    <t>Проверить нормализацию и сводный индекс</t>
  </si>
  <si>
    <t>05_Нормализация</t>
  </si>
  <si>
    <t>Рассчитать цифровую воронку</t>
  </si>
  <si>
    <t>06_Воронка</t>
  </si>
  <si>
    <t>Сравнить осторожный, базовый и оптимистичный сценарии</t>
  </si>
  <si>
    <t>07_Сценарии</t>
  </si>
  <si>
    <t>Сформулировать итоговый вывод</t>
  </si>
  <si>
    <t>08_Дашборд</t>
  </si>
  <si>
    <t>Исходные параметры и допущения</t>
  </si>
  <si>
    <t>Параметр</t>
  </si>
  <si>
    <t>Значение</t>
  </si>
  <si>
    <t>Единица</t>
  </si>
  <si>
    <t>Комментарий</t>
  </si>
  <si>
    <t>Регион анализа</t>
  </si>
  <si>
    <t>Республика Беларусь</t>
  </si>
  <si>
    <t>текст</t>
  </si>
  <si>
    <t>Период анализа</t>
  </si>
  <si>
    <t>Средний чек</t>
  </si>
  <si>
    <t>Доля переходов из поиска</t>
  </si>
  <si>
    <t>доля</t>
  </si>
  <si>
    <t>Конверсия посетитель → заявка</t>
  </si>
  <si>
    <t>Конверсия заявка → продажа</t>
  </si>
  <si>
    <t>Коэффициент учета повторных покупок</t>
  </si>
  <si>
    <t>раз</t>
  </si>
  <si>
    <t>Вес Google Trends в сводном индексе</t>
  </si>
  <si>
    <t>Вес Яндекс Вордстат в сводном индексе</t>
  </si>
  <si>
    <t>Минимальная коммерческая близость</t>
  </si>
  <si>
    <t>Семантическое ядро и коммерческая близость запросов</t>
  </si>
  <si>
    <t>Запрос</t>
  </si>
  <si>
    <t>Группа</t>
  </si>
  <si>
    <t>Намерение</t>
  </si>
  <si>
    <t>Регион</t>
  </si>
  <si>
    <t>Частотность Wordstat / мес.</t>
  </si>
  <si>
    <t>Индекс Google Trends</t>
  </si>
  <si>
    <t>Вес релевантности</t>
  </si>
  <si>
    <t>Коммерческая близость</t>
  </si>
  <si>
    <t>Взвешенный спрос</t>
  </si>
  <si>
    <t>Коммерческий спрос</t>
  </si>
  <si>
    <t>коммерческое</t>
  </si>
  <si>
    <t>РБ</t>
  </si>
  <si>
    <t>Проблемный спрос</t>
  </si>
  <si>
    <t>проблемное</t>
  </si>
  <si>
    <t>Инструментальный спрос</t>
  </si>
  <si>
    <t>Данные Google Trends: месячный индекс интереса</t>
  </si>
  <si>
    <t>Месяц</t>
  </si>
  <si>
    <t>Средний индекс GT</t>
  </si>
  <si>
    <t>Данные Яндекс Вордстат: частотность запросов</t>
  </si>
  <si>
    <t>Коммерческие запросы</t>
  </si>
  <si>
    <t>Проблемные запросы</t>
  </si>
  <si>
    <t>Инструментальные запросы</t>
  </si>
  <si>
    <t>Локальные запросы</t>
  </si>
  <si>
    <t>Суммарная частотность</t>
  </si>
  <si>
    <t>Коммерческий коэффициент</t>
  </si>
  <si>
    <t>Взвешенная частотность</t>
  </si>
  <si>
    <t>Нормализация данных и сводный индекс поискового спроса</t>
  </si>
  <si>
    <t>Нормированный GT</t>
  </si>
  <si>
    <t>Взвешенная частотность WS</t>
  </si>
  <si>
    <t>Нормированный WS</t>
  </si>
  <si>
    <t>Сводный индекс спроса</t>
  </si>
  <si>
    <t>Оценка уровня</t>
  </si>
  <si>
    <t>Цифровая воронка: перевод поискового спроса в продажи и выручку</t>
  </si>
  <si>
    <t>Показатель</t>
  </si>
  <si>
    <t>Осторожный</t>
  </si>
  <si>
    <t>Базовый</t>
  </si>
  <si>
    <t>Оптимистичный</t>
  </si>
  <si>
    <t>Взвешенный поисковый спрос / мес.</t>
  </si>
  <si>
    <t>Посещения / мес.</t>
  </si>
  <si>
    <t>Заявки / мес.</t>
  </si>
  <si>
    <t>Продажи / мес.</t>
  </si>
  <si>
    <t>Коэффициент повторных покупок</t>
  </si>
  <si>
    <t>Выручка / мес.</t>
  </si>
  <si>
    <t>Выручка / год</t>
  </si>
  <si>
    <t>Сценарная оценка объема рынка</t>
  </si>
  <si>
    <t>Сценарий</t>
  </si>
  <si>
    <t>Переходы / мес.</t>
  </si>
  <si>
    <t>Интерпретация</t>
  </si>
  <si>
    <t>Итоговая панель оценки рынка через поисковый спрос</t>
  </si>
  <si>
    <t>Средний сводный индекс спроса</t>
  </si>
  <si>
    <t>Максимальный сводный индекс спроса</t>
  </si>
  <si>
    <t>Средняя взвешенная частотность</t>
  </si>
  <si>
    <t>Средний коммерчески взвешенный спрос / мес.</t>
  </si>
  <si>
    <t>Базовая выручка / мес.</t>
  </si>
  <si>
    <t>Базовая выручка / год</t>
  </si>
  <si>
    <t>Диапазон годовой выручки</t>
  </si>
  <si>
    <t>Уровень интереса</t>
  </si>
  <si>
    <t>Источники данных и журнал фиксации</t>
  </si>
  <si>
    <t>Источник</t>
  </si>
  <si>
    <t>Что брать</t>
  </si>
  <si>
    <t>Период / регион</t>
  </si>
  <si>
    <t>Дата фиксации</t>
  </si>
  <si>
    <t>Ссылка / примечание</t>
  </si>
  <si>
    <t>Google Trends</t>
  </si>
  <si>
    <t>Индекс интереса, динамика, региональность, связанные запросы</t>
  </si>
  <si>
    <t>указать</t>
  </si>
  <si>
    <t>https://trends.google.com/</t>
  </si>
  <si>
    <t>Справка Google Trends</t>
  </si>
  <si>
    <t>Описание нормированного индекса и выгрузки CSV</t>
  </si>
  <si>
    <t>общая методика</t>
  </si>
  <si>
    <t>https://support.google.com/trends/answer/4365533</t>
  </si>
  <si>
    <t>Яндекс Вордстат</t>
  </si>
  <si>
    <t>Частотность запросов, динамика, регионы, похожие запросы</t>
  </si>
  <si>
    <t>https://wordstat.yandex.ru/</t>
  </si>
  <si>
    <t>Справка Яндекс Вордстат</t>
  </si>
  <si>
    <t>Описание интерфейса, динамики, регионов и экспорта</t>
  </si>
  <si>
    <t>https://yandex.ru/support2/wordstat/ru/</t>
  </si>
  <si>
    <t>Рекламные кабинеты</t>
  </si>
  <si>
    <t>Оценка охвата, кликабельности, стоимости клика</t>
  </si>
  <si>
    <t>Сайт / CRM / продажи</t>
  </si>
  <si>
    <t>Фактические конверсии, заявки, средний чек</t>
  </si>
  <si>
    <t>сентябрь 2025 – август 2026 (12 мес.)</t>
  </si>
  <si>
    <t>BYN/год</t>
  </si>
  <si>
    <t>uml купить</t>
  </si>
  <si>
    <t>н/д</t>
  </si>
  <si>
    <t>visio купить</t>
  </si>
  <si>
    <t>uml онлайн</t>
  </si>
  <si>
    <t>инструментальное</t>
  </si>
  <si>
    <t>bpmn онлайн</t>
  </si>
  <si>
    <t>plantuml online</t>
  </si>
  <si>
    <t>нейросеть схема</t>
  </si>
  <si>
    <t>инструментальное (AI)</t>
  </si>
  <si>
    <t>idef0 как</t>
  </si>
  <si>
    <t>bpmn пример</t>
  </si>
  <si>
    <t>uml</t>
  </si>
  <si>
    <t>Общий тематический спрос</t>
  </si>
  <si>
    <t>информационное</t>
  </si>
  <si>
    <t>mermaid</t>
  </si>
  <si>
    <t>Исключаемый (омоним)</t>
  </si>
  <si>
    <t>омоним: фильм</t>
  </si>
  <si>
    <t>Примечание</t>
  </si>
  <si>
    <t>UML</t>
  </si>
  <si>
    <t>BPMN</t>
  </si>
  <si>
    <t>PlantUML</t>
  </si>
  <si>
    <t>IDEF0</t>
  </si>
  <si>
    <t>все значения 0: недостаточно данных Google Trends по Беларуси</t>
  </si>
  <si>
    <t>Вес намерения</t>
  </si>
  <si>
    <t>ПС табл. 9</t>
  </si>
  <si>
    <t>Беларусь; 12 мес. (сент. 2025 – авг. 2026)</t>
  </si>
  <si>
    <t>Беларусь (id=149); 24 мес. и 30 дней</t>
  </si>
  <si>
    <t>https://api.nbrb.by/exrates/rates/431</t>
  </si>
  <si>
    <t>Концепция NotaCode</t>
  </si>
  <si>
    <t>документ проекта (концепция, раздел 6)</t>
  </si>
  <si>
    <t>Тарифы конкурентов</t>
  </si>
  <si>
    <t>страницы тарифов Miro, Lucidchart, Mermaid Chart и др.</t>
  </si>
  <si>
    <t>29.09.2026</t>
  </si>
  <si>
    <t>02.05.2026</t>
  </si>
  <si>
    <t>Собственной аналитики нет (MVP не запущен): конверсии – допущение проекта (концепция NotaCode: Free → Pro 3–5 %)</t>
  </si>
  <si>
    <t>–</t>
  </si>
  <si>
    <t>Курс НБРБ у.е./BYN</t>
  </si>
  <si>
    <t>3,0285 BYN за 1 у.е.</t>
  </si>
  <si>
    <t>Цена Pro 40 у.е./год (помесячно 4 у.е.); конверсия Free → Pro 3–5 % (гипотеза A-06)</t>
  </si>
  <si>
    <t>Входные платные тарифы, медиана 8 у.е./мес. при оплате за год</t>
  </si>
  <si>
    <t>Шаблон переводит поисковый спрос в оценку потенциальных переходов, заявок, продаж и денежного объема рынка</t>
  </si>
  <si>
    <t>Семантическое ядро → частотность и индекс интереса → нормализация → цифровая воронка → сценарный диапазон рынка</t>
  </si>
  <si>
    <t>Поисковый спрос не равен фактическому объему рынка. Расчет показывает ориентир, который нужно проверять через конкурентов, статистику, платформы и реальные продажи</t>
  </si>
  <si>
    <t>Google Trends, Яндекс Вордстат, рекламные кабинеты, данные сайта, CRM, экспертные оценки среднего чека и конверсий</t>
  </si>
  <si>
    <t>Заполните листы 01–04, проверьте расчет на листах 05–07 и используйте лист 08 для итогового вывода</t>
  </si>
  <si>
    <t>Можно заменить на страну, область или город</t>
  </si>
  <si>
    <t>Желательно использовать одинаковый период во всех источниках</t>
  </si>
  <si>
    <t>Годовой чек Pro: 40 у.е. × курс НБРБ 3,0285 (30.09.2026). Альтернатива 4 у.е. × 12 = 48 у.е./год – 145,37 BYN</t>
  </si>
  <si>
    <t>Базовое значение шкалы ПС табл. 17 (5–8 %)</t>
  </si>
  <si>
    <t>Посетитель → регистрация (заявка). ПС табл. 17: 3–5 %</t>
  </si>
  <si>
    <t>Регистрация → оплата Pro. Допущение проекта (концепция NotaCode: Free → Pro 3–5 %); шкала ПС 25–35 % для freemium неприменима</t>
  </si>
  <si>
    <t>Сумма весов Google Trends и Вордстат должна быть равна 1</t>
  </si>
  <si>
    <t>Не используется формулами (особенность шаблона П-13)</t>
  </si>
  <si>
    <t>Среднее число годовых оплат на платящего пользователя; шкала шаблона, срок удержания – допущение проекта (данных нет)</t>
  </si>
  <si>
    <t>Частотность – Яндекс Вордстат, Беларусь, «Топы запросов», 25.08–23.09.2026, все устройства. GT-индекс: н/д = недостаточно данных по Беларуси; у «uml» – среднее недельного ряда за 12 мес. по данным ЛР1. «mermaid» без уточнения – омоним (фильм «Русалочка»), вес 0,00 по ПС табл. 9 (особенность шаблона П-14)</t>
  </si>
  <si>
    <t>Источник: Google Trends, Беларусь, today 12-m, категория «все», веб-поиск, один запрос из 4 терминов (единая шкала); недельные значения усреднены по месяцам (по дате начала недели). Выгрузка 30.09.2026</t>
  </si>
  <si>
    <t>Коммерческий коэффициент (столбец G) – средневзвешенный вес намерения по составу месяца</t>
  </si>
  <si>
    <t>Берется из листа 04_Wordstat как среднее значение</t>
  </si>
  <si>
    <t>CTR или доля пользователей, перешедших на сайт / страницу</t>
  </si>
  <si>
    <t>Поисковый спрос × доля переходов</t>
  </si>
  <si>
    <t>Зависит от качества предложения и сайта</t>
  </si>
  <si>
    <t>Посещения × конверсия в заявку</t>
  </si>
  <si>
    <t>Регистрация → оплата Pro: допущение проекта 3–5 % (вне шкалы ПС 10–50 %)</t>
  </si>
  <si>
    <t>Заявки × конверсия в продажу</t>
  </si>
  <si>
    <t>Годовой чек Pro, BYN: 40 у.е./год (осторожный и базовый); медиана входных платных тарифов конкурентов (8 у.е./мес. × 12)</t>
  </si>
  <si>
    <t>Число годовых оплат на платящего; шкала шаблона (1 / 1,2 / 1,5), срок удержания – допущение</t>
  </si>
  <si>
    <t>Продажи × средний чек × повторные покупки</t>
  </si>
  <si>
    <t>Месячная выручка × 12</t>
  </si>
  <si>
    <t>Нижняя граница оценки при слабой конверсии</t>
  </si>
  <si>
    <t>Рабочий ориентир для планирования</t>
  </si>
  <si>
    <t>Верхняя граница при сильном предложении и продвижении</t>
  </si>
  <si>
    <t>Среднее по листу нормализации</t>
  </si>
  <si>
    <t>Пик интереса за период</t>
  </si>
  <si>
    <t>Расчет по базовому сценарию</t>
  </si>
  <si>
    <t>Осторожный – оптимистичный сценарий</t>
  </si>
  <si>
    <t>Автоматическая классификация по среднему индексу</t>
  </si>
  <si>
    <t>не собрано: Google Ads Keyword Planner / Яндекс Директ (прогноз показов и CPC) – нужны рекламные кабинеты (нужен доступ)</t>
  </si>
  <si>
    <t>В расчете 05_Нормализация; механическое сложение GT и Вордстат запрещено ПС §3 – показан для сравнения (см. отчет)</t>
  </si>
  <si>
    <t>Источник: Яндекс Вордстат, Беларусь (id=149), все устройства, вкладка «Динамика», месячные значения; групповой ряд – сумма рядов отдельных формулировок (операторы группировки в «Динамике» не поддерживаются). Состав групп и учет пересечений – в отчете. Локальные запросы: ряд ниже порога отображения (Топы: uml минск 3, bpmn минск 4 за 30 дней)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</si>
</sst>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\ ##0"/>
    <numFmt numFmtId="165" formatCode="yyyy\-mm"/>
    <numFmt numFmtId="166" formatCode="0.0"/>
  </numFmts>
  <fonts count="5">
    <font>
      <sz val="11"/>
      <name val="Carlito"/>
    </font>
    <font>
      <b/>
      <sz val="14"/>
      <color rgb="FFFFFFFF"/>
      <name val="Carlito"/>
    </font>
    <font>
      <b/>
      <sz val="11"/>
      <color rgb="FF000000"/>
      <name val="Carlito"/>
    </font>
    <font>
      <b/>
      <sz val="11"/>
      <color rgb="FFFFFFFF"/>
      <name val="Carlito"/>
    </font>
    <font>
      <sz val="11"/>
      <name val="Carlito"/>
    </font>
  </fonts>
  <fills count="7">
    <fill>
      <patternFill patternType="none"/>
    </fill>
    <fill>
      <patternFill patternType="gray125"/>
    </fill>
    <fill>
      <patternFill patternType="solid">
        <fgColor rgb="FF0B1F33"/>
      </patternFill>
    </fill>
    <fill>
      <patternFill patternType="solid">
        <fgColor rgb="FFD9EAF7"/>
      </patternFill>
    </fill>
    <fill>
      <patternFill patternType="solid">
        <fgColor rgb="FF1F4E79"/>
      </patternFill>
    </fill>
    <fill>
      <patternFill patternType="solid">
        <fgColor rgb="FFFFF2CC"/>
      </patternFill>
    </fill>
    <fill>
      <patternFill patternType="solid">
        <fgColor rgb="FFE2F0D9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23">
    <xf numFmtId="0" fontId="0" fillId="0" borderId="0" xfId="0"/>
    <xf numFmtId="0" fontId="0" fillId="0" borderId="0" xfId="0" applyAlignment="1">
      <alignment vertical="top" wrapText="1"/>
    </xf>
    <xf numFmtId="0" fontId="2" fillId="3" borderId="0" xfId="1" applyFont="1" applyFill="1" applyAlignment="1">
      <alignment horizontal="center" vertical="top" wrapText="1"/>
    </xf>
    <xf numFmtId="0" fontId="0" fillId="0" borderId="0" xfId="1" applyFont="1" applyAlignment="1">
      <alignment vertical="top" wrapText="1"/>
    </xf>
    <xf numFmtId="0" fontId="3" fillId="4" borderId="0" xfId="1" applyFont="1" applyFill="1" applyAlignment="1">
      <alignment horizontal="center" vertical="top" wrapText="1"/>
    </xf>
    <xf numFmtId="0" fontId="0" fillId="5" borderId="0" xfId="1" applyFont="1" applyFill="1" applyAlignment="1">
      <alignment vertical="top" wrapText="1"/>
    </xf>
    <xf numFmtId="164" fontId="0" fillId="5" borderId="0" xfId="1" applyNumberFormat="1" applyFont="1" applyFill="1" applyAlignment="1">
      <alignment vertical="top" wrapText="1"/>
    </xf>
    <xf numFmtId="10" fontId="0" fillId="5" borderId="0" xfId="1" applyNumberFormat="1" applyFont="1" applyFill="1" applyAlignment="1">
      <alignment vertical="top" wrapText="1"/>
    </xf>
    <xf numFmtId="2" fontId="0" fillId="5" borderId="0" xfId="1" applyNumberFormat="1" applyFont="1" applyFill="1" applyAlignment="1">
      <alignment vertical="top" wrapText="1"/>
    </xf>
    <xf numFmtId="2" fontId="0" fillId="6" borderId="0" xfId="1" applyNumberFormat="1" applyFont="1" applyFill="1" applyAlignment="1">
      <alignment vertical="top" wrapText="1"/>
    </xf>
    <xf numFmtId="165" fontId="0" fillId="0" borderId="0" xfId="1" applyNumberFormat="1" applyFont="1" applyAlignment="1">
      <alignment vertical="top" wrapText="1"/>
    </xf>
    <xf numFmtId="166" fontId="0" fillId="5" borderId="0" xfId="1" applyNumberFormat="1" applyFont="1" applyFill="1" applyAlignment="1">
      <alignment vertical="top" wrapText="1"/>
    </xf>
    <xf numFmtId="166" fontId="0" fillId="6" borderId="0" xfId="1" applyNumberFormat="1" applyFont="1" applyFill="1" applyAlignment="1">
      <alignment vertical="top" wrapText="1"/>
    </xf>
    <xf numFmtId="164" fontId="0" fillId="6" borderId="0" xfId="1" applyNumberFormat="1" applyFont="1" applyFill="1" applyAlignment="1">
      <alignment vertical="top" wrapText="1"/>
    </xf>
    <xf numFmtId="166" fontId="0" fillId="0" borderId="0" xfId="1" applyNumberFormat="1" applyFont="1" applyAlignment="1">
      <alignment vertical="top" wrapText="1"/>
    </xf>
    <xf numFmtId="164" fontId="0" fillId="0" borderId="0" xfId="1" applyNumberFormat="1" applyFont="1" applyAlignment="1">
      <alignment vertical="top" wrapText="1"/>
    </xf>
    <xf numFmtId="0" fontId="0" fillId="6" borderId="0" xfId="1" applyFont="1" applyFill="1" applyAlignment="1">
      <alignment vertical="top" wrapText="1"/>
    </xf>
    <xf numFmtId="49" fontId="0" fillId="0" borderId="0" xfId="1" applyNumberFormat="1" applyFont="1" applyAlignment="1">
      <alignment vertical="top" wrapText="1"/>
    </xf>
    <xf numFmtId="49" fontId="0" fillId="0" borderId="0" xfId="0" applyNumberFormat="1" applyAlignment="1">
      <alignment vertical="top" wrapText="1"/>
    </xf>
    <xf numFmtId="0" fontId="1" fillId="2" borderId="0" xfId="1" applyFont="1" applyFill="1" applyAlignment="1">
      <alignment horizontal="left" vertical="top" wrapText="1"/>
    </xf>
    <xf numFmtId="0" fontId="0" fillId="0" borderId="0" xfId="0" applyAlignment="1">
      <alignment vertical="top" wrapText="1"/>
    </xf>
    <xf numFmtId="0" fontId="2" fillId="3" borderId="0" xfId="1" applyFont="1" applyFill="1" applyAlignment="1">
      <alignment horizontal="center" vertical="top" wrapText="1"/>
    </xf>
    <xf numFmtId="0" fontId="0" fillId="0" borderId="0" xfId="1" applyFont="1" applyAlignment="1">
      <alignment vertical="top" wrapText="1"/>
    </xf>
  </cellXfs>
  <cellStyles count="2">
    <cellStyle name="Normal" xfId="1" xr:uid="{00000000-0005-0000-0000-000000000000}"/>
    <cellStyle name="Обычный" xfId="0" builtinId="0"/>
  </cellStyles>
  <dxfs count="72"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v>Сводный индекс спроса</c:v>
          </c:tx>
          <c:cat>
            <c:numRef>
              <c:f>'05_Нормализация'!$A$4:$A$15</c:f>
              <c:numCache>
                <c:formatCode>yyyy\-mm</c:formatCode>
                <c:ptCount val="12"/>
                <c:pt idx="0">
                  <c:v>45900.875</c:v>
                </c:pt>
                <c:pt idx="1">
                  <c:v>45930.875</c:v>
                </c:pt>
                <c:pt idx="2">
                  <c:v>45961.875</c:v>
                </c:pt>
                <c:pt idx="3">
                  <c:v>45991.875</c:v>
                </c:pt>
                <c:pt idx="4">
                  <c:v>46022.875</c:v>
                </c:pt>
                <c:pt idx="5">
                  <c:v>46053.875</c:v>
                </c:pt>
                <c:pt idx="6">
                  <c:v>46081.875</c:v>
                </c:pt>
                <c:pt idx="7">
                  <c:v>46112.875</c:v>
                </c:pt>
                <c:pt idx="8">
                  <c:v>46142.875</c:v>
                </c:pt>
                <c:pt idx="9">
                  <c:v>46173.875</c:v>
                </c:pt>
                <c:pt idx="10">
                  <c:v>46203.875</c:v>
                </c:pt>
                <c:pt idx="11">
                  <c:v>46234.875</c:v>
                </c:pt>
              </c:numCache>
            </c:numRef>
          </c:cat>
          <c:val>
            <c:numRef>
              <c:f>'05_Нормализация'!$F$4:$F$15</c:f>
              <c:numCache>
                <c:formatCode>0.0</c:formatCode>
                <c:ptCount val="12"/>
                <c:pt idx="0">
                  <c:v>39.931291153736041</c:v>
                </c:pt>
                <c:pt idx="1">
                  <c:v>76.828200680611374</c:v>
                </c:pt>
                <c:pt idx="2">
                  <c:v>62.46476663734709</c:v>
                </c:pt>
                <c:pt idx="3">
                  <c:v>100</c:v>
                </c:pt>
                <c:pt idx="4">
                  <c:v>29.469851143787253</c:v>
                </c:pt>
                <c:pt idx="5">
                  <c:v>53.343921197274959</c:v>
                </c:pt>
                <c:pt idx="6">
                  <c:v>51.461366171256536</c:v>
                </c:pt>
                <c:pt idx="7">
                  <c:v>71.739341643856562</c:v>
                </c:pt>
                <c:pt idx="8">
                  <c:v>49.768107643859146</c:v>
                </c:pt>
                <c:pt idx="9">
                  <c:v>29.945605496707699</c:v>
                </c:pt>
                <c:pt idx="10">
                  <c:v>13.375322072716859</c:v>
                </c:pt>
                <c:pt idx="11">
                  <c:v>11.159461780704262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E6E-4A3B-9E9B-AE5F7BADFE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50112"/>
        <c:axId val="48672768"/>
      </c:lineChart>
      <c:date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yyyy\-mm" sourceLinked="1"/>
        <c:majorTickMark val="none"/>
        <c:minorTickMark val="none"/>
        <c:tickLblPos val="nextTo"/>
        <c:crossAx val="48672768"/>
        <c:crosses val="autoZero"/>
        <c:auto val="1"/>
        <c:lblOffset val="100"/>
        <c:baseTimeUnit val="months"/>
      </c:date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2</xdr:row>
      <xdr:rowOff>0</xdr:rowOff>
    </xdr:from>
    <xdr:to>
      <xdr:col>12</xdr:col>
      <xdr:colOff>0</xdr:colOff>
      <xdr:row>20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emanticCore" displayName="SemanticCore" ref="A3:J13" headerRowDxfId="71" dataDxfId="70" totalsRowDxfId="69">
  <tableColumns count="10">
    <tableColumn id="1" xr3:uid="{00000000-0010-0000-0000-000001000000}" name="№" dataDxfId="68"/>
    <tableColumn id="2" xr3:uid="{00000000-0010-0000-0000-000002000000}" name="Запрос" dataDxfId="67"/>
    <tableColumn id="3" xr3:uid="{00000000-0010-0000-0000-000003000000}" name="Группа" dataDxfId="66"/>
    <tableColumn id="4" xr3:uid="{00000000-0010-0000-0000-000004000000}" name="Намерение" dataDxfId="65"/>
    <tableColumn id="5" xr3:uid="{00000000-0010-0000-0000-000005000000}" name="Регион" dataDxfId="64"/>
    <tableColumn id="6" xr3:uid="{00000000-0010-0000-0000-000006000000}" name="Частотность Wordstat / мес." dataDxfId="63"/>
    <tableColumn id="7" xr3:uid="{00000000-0010-0000-0000-000007000000}" name="Индекс Google Trends" dataDxfId="62"/>
    <tableColumn id="8" xr3:uid="{00000000-0010-0000-0000-000008000000}" name="Вес релевантности" dataDxfId="61"/>
    <tableColumn id="9" xr3:uid="{00000000-0010-0000-0000-000009000000}" name="Коммерческая близость" dataDxfId="60"/>
    <tableColumn id="10" xr3:uid="{00000000-0010-0000-0000-00000A000000}" name="Взвешенный спрос" dataDxfId="59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GoogleTrends" displayName="GoogleTrends" ref="A3:G15" headerRowDxfId="58" dataDxfId="57" totalsRowDxfId="56">
  <tableColumns count="7">
    <tableColumn id="1" xr3:uid="{00000000-0010-0000-0100-000001000000}" name="Месяц" dataDxfId="55"/>
    <tableColumn id="2" xr3:uid="{00000000-0010-0000-0100-000002000000}" name="UML" dataDxfId="54"/>
    <tableColumn id="3" xr3:uid="{00000000-0010-0000-0100-000003000000}" name="BPMN" dataDxfId="53"/>
    <tableColumn id="4" xr3:uid="{00000000-0010-0000-0100-000004000000}" name="PlantUML" dataDxfId="52"/>
    <tableColumn id="5" xr3:uid="{00000000-0010-0000-0100-000005000000}" name="IDEF0" dataDxfId="51"/>
    <tableColumn id="6" xr3:uid="{00000000-0010-0000-0100-000006000000}" name="Средний индекс GT" dataDxfId="50"/>
    <tableColumn id="7" xr3:uid="{00000000-0010-0000-0100-000007000000}" name="Комментарий" dataDxfId="49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Wordstat" displayName="Wordstat" ref="A3:H15" headerRowDxfId="48" dataDxfId="47" totalsRowDxfId="46">
  <tableColumns count="8">
    <tableColumn id="1" xr3:uid="{00000000-0010-0000-0200-000001000000}" name="Месяц" dataDxfId="45"/>
    <tableColumn id="2" xr3:uid="{00000000-0010-0000-0200-000002000000}" name="Коммерческие запросы" dataDxfId="44"/>
    <tableColumn id="3" xr3:uid="{00000000-0010-0000-0200-000003000000}" name="Проблемные запросы" dataDxfId="43"/>
    <tableColumn id="4" xr3:uid="{00000000-0010-0000-0200-000004000000}" name="Инструментальные запросы" dataDxfId="42"/>
    <tableColumn id="5" xr3:uid="{00000000-0010-0000-0200-000005000000}" name="Локальные запросы" dataDxfId="41"/>
    <tableColumn id="6" xr3:uid="{00000000-0010-0000-0200-000006000000}" name="Суммарная частотность" dataDxfId="40"/>
    <tableColumn id="7" xr3:uid="{00000000-0010-0000-0200-000007000000}" name="Коммерческий коэффициент" dataDxfId="39"/>
    <tableColumn id="8" xr3:uid="{00000000-0010-0000-0200-000008000000}" name="Взвешенная частотность" dataDxfId="38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NormalizedDemand" displayName="NormalizedDemand" ref="A3:H15" headerRowDxfId="37" dataDxfId="36" totalsRowDxfId="35">
  <tableColumns count="8">
    <tableColumn id="1" xr3:uid="{00000000-0010-0000-0300-000001000000}" name="Месяц" dataDxfId="34"/>
    <tableColumn id="2" xr3:uid="{00000000-0010-0000-0300-000002000000}" name="Средний индекс GT" dataDxfId="33"/>
    <tableColumn id="3" xr3:uid="{00000000-0010-0000-0300-000003000000}" name="Нормированный GT" dataDxfId="32"/>
    <tableColumn id="4" xr3:uid="{00000000-0010-0000-0300-000004000000}" name="Взвешенная частотность WS" dataDxfId="31"/>
    <tableColumn id="5" xr3:uid="{00000000-0010-0000-0300-000005000000}" name="Нормированный WS" dataDxfId="30"/>
    <tableColumn id="6" xr3:uid="{00000000-0010-0000-0300-000006000000}" name="Сводный индекс спроса" dataDxfId="29"/>
    <tableColumn id="7" xr3:uid="{00000000-0010-0000-0300-000007000000}" name="Оценка уровня" dataDxfId="28"/>
    <tableColumn id="8" xr3:uid="{00000000-0010-0000-0300-000008000000}" name="Комментарий" dataDxfId="27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Funnel" displayName="Funnel" ref="A3:E14" headerRowDxfId="26" dataDxfId="25" totalsRowDxfId="24">
  <tableColumns count="5">
    <tableColumn id="1" xr3:uid="{00000000-0010-0000-0400-000001000000}" name="Показатель" dataDxfId="23"/>
    <tableColumn id="2" xr3:uid="{00000000-0010-0000-0400-000002000000}" name="Осторожный" dataDxfId="22"/>
    <tableColumn id="3" xr3:uid="{00000000-0010-0000-0400-000003000000}" name="Базовый" dataDxfId="21"/>
    <tableColumn id="4" xr3:uid="{00000000-0010-0000-0400-000004000000}" name="Оптимистичный" dataDxfId="20"/>
    <tableColumn id="5" xr3:uid="{00000000-0010-0000-0400-000005000000}" name="Комментарий" dataDxfId="19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Scenarios" displayName="Scenarios" ref="A3:H6" headerRowDxfId="18" dataDxfId="17" totalsRowDxfId="16">
  <tableColumns count="8">
    <tableColumn id="1" xr3:uid="{00000000-0010-0000-0500-000001000000}" name="Сценарий" dataDxfId="15"/>
    <tableColumn id="2" xr3:uid="{00000000-0010-0000-0500-000002000000}" name="Переходы / мес." dataDxfId="14"/>
    <tableColumn id="3" xr3:uid="{00000000-0010-0000-0500-000003000000}" name="Заявки / мес." dataDxfId="13"/>
    <tableColumn id="4" xr3:uid="{00000000-0010-0000-0500-000004000000}" name="Продажи / мес." dataDxfId="12"/>
    <tableColumn id="5" xr3:uid="{00000000-0010-0000-0500-000005000000}" name="Средний чек" dataDxfId="11"/>
    <tableColumn id="6" xr3:uid="{00000000-0010-0000-0500-000006000000}" name="Выручка / мес." dataDxfId="10"/>
    <tableColumn id="7" xr3:uid="{00000000-0010-0000-0500-000007000000}" name="Выручка / год" dataDxfId="9"/>
    <tableColumn id="8" xr3:uid="{00000000-0010-0000-0500-000008000000}" name="Интерпретация" dataDxfId="8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Sources" displayName="Sources" ref="A3:E12" headerRowDxfId="7" dataDxfId="6" totalsRowDxfId="5">
  <tableColumns count="5">
    <tableColumn id="1" xr3:uid="{00000000-0010-0000-0600-000001000000}" name="Источник" dataDxfId="4"/>
    <tableColumn id="2" xr3:uid="{00000000-0010-0000-0600-000002000000}" name="Что брать" dataDxfId="3"/>
    <tableColumn id="3" xr3:uid="{00000000-0010-0000-0600-000003000000}" name="Период / регион" dataDxfId="2"/>
    <tableColumn id="4" xr3:uid="{00000000-0010-0000-0600-000004000000}" name="Дата фиксации" dataDxfId="1"/>
    <tableColumn id="5" xr3:uid="{00000000-0010-0000-0600-000005000000}" name="Ссылка / примечание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8"/>
  <sheetViews>
    <sheetView tabSelected="1" workbookViewId="0">
      <selection sqref="A1:H1"/>
    </sheetView>
  </sheetViews>
  <sheetFormatPr defaultRowHeight="14.25"/>
  <cols>
    <col min="1" max="1" width="60.625" customWidth="1"/>
    <col min="2" max="2" width="55.625" customWidth="1"/>
    <col min="3" max="3" width="24" customWidth="1"/>
    <col min="4" max="8" width="9.625" customWidth="1"/>
  </cols>
  <sheetData>
    <row r="1" spans="1:8" ht="15" customHeight="1">
      <c r="A1" s="19" t="s">
        <v>0</v>
      </c>
      <c r="B1" s="20"/>
      <c r="C1" s="20"/>
      <c r="D1" s="20"/>
      <c r="E1" s="20"/>
      <c r="F1" s="20"/>
      <c r="G1" s="20"/>
      <c r="H1" s="20"/>
    </row>
    <row r="2" spans="1:8">
      <c r="A2" s="1"/>
      <c r="B2" s="1"/>
      <c r="C2" s="1"/>
      <c r="D2" s="1"/>
      <c r="E2" s="1"/>
      <c r="F2" s="1"/>
      <c r="G2" s="1"/>
      <c r="H2" s="1"/>
    </row>
    <row r="3" spans="1:8" ht="28.5">
      <c r="A3" s="2" t="s">
        <v>1</v>
      </c>
      <c r="B3" s="3" t="s">
        <v>169</v>
      </c>
      <c r="C3" s="1"/>
      <c r="D3" s="1"/>
      <c r="E3" s="1"/>
      <c r="F3" s="1"/>
      <c r="G3" s="1"/>
      <c r="H3" s="1"/>
    </row>
    <row r="4" spans="1:8" ht="42.75">
      <c r="A4" s="2" t="s">
        <v>2</v>
      </c>
      <c r="B4" s="3" t="s">
        <v>170</v>
      </c>
      <c r="C4" s="1"/>
      <c r="D4" s="1"/>
      <c r="E4" s="1"/>
      <c r="F4" s="1"/>
      <c r="G4" s="1"/>
      <c r="H4" s="1"/>
    </row>
    <row r="5" spans="1:8" ht="42.75">
      <c r="A5" s="2" t="s">
        <v>3</v>
      </c>
      <c r="B5" s="3" t="s">
        <v>171</v>
      </c>
      <c r="C5" s="1"/>
      <c r="D5" s="1"/>
      <c r="E5" s="1"/>
      <c r="F5" s="1"/>
      <c r="G5" s="1"/>
      <c r="H5" s="1"/>
    </row>
    <row r="6" spans="1:8" ht="42.75">
      <c r="A6" s="2" t="s">
        <v>4</v>
      </c>
      <c r="B6" s="3" t="s">
        <v>172</v>
      </c>
      <c r="C6" s="1"/>
      <c r="D6" s="1"/>
      <c r="E6" s="1"/>
      <c r="F6" s="1"/>
      <c r="G6" s="1"/>
      <c r="H6" s="1"/>
    </row>
    <row r="7" spans="1:8" ht="28.5">
      <c r="A7" s="2" t="s">
        <v>5</v>
      </c>
      <c r="B7" s="3" t="s">
        <v>173</v>
      </c>
      <c r="C7" s="1"/>
      <c r="D7" s="1"/>
      <c r="E7" s="1"/>
      <c r="F7" s="1"/>
      <c r="G7" s="1"/>
      <c r="H7" s="1"/>
    </row>
    <row r="8" spans="1:8">
      <c r="A8" s="1"/>
      <c r="B8" s="1"/>
      <c r="C8" s="1"/>
      <c r="D8" s="1"/>
      <c r="E8" s="1"/>
      <c r="F8" s="1"/>
      <c r="G8" s="1"/>
      <c r="H8" s="1"/>
    </row>
    <row r="9" spans="1:8">
      <c r="A9" s="21" t="s">
        <v>6</v>
      </c>
      <c r="B9" s="20"/>
      <c r="C9" s="20"/>
      <c r="D9" s="20"/>
      <c r="E9" s="20"/>
      <c r="F9" s="20"/>
      <c r="G9" s="20"/>
      <c r="H9" s="20"/>
    </row>
    <row r="10" spans="1:8" ht="15">
      <c r="A10" s="4" t="s">
        <v>7</v>
      </c>
      <c r="B10" s="4" t="s">
        <v>8</v>
      </c>
      <c r="C10" s="4" t="s">
        <v>9</v>
      </c>
      <c r="D10" s="1"/>
      <c r="E10" s="1"/>
      <c r="F10" s="1"/>
      <c r="G10" s="1"/>
      <c r="H10" s="1"/>
    </row>
    <row r="11" spans="1:8">
      <c r="A11" s="1">
        <v>1</v>
      </c>
      <c r="B11" s="1" t="s">
        <v>10</v>
      </c>
      <c r="C11" s="1" t="s">
        <v>11</v>
      </c>
      <c r="D11" s="1"/>
      <c r="E11" s="1"/>
      <c r="F11" s="1"/>
      <c r="G11" s="1"/>
      <c r="H11" s="1"/>
    </row>
    <row r="12" spans="1:8">
      <c r="A12" s="1">
        <v>2</v>
      </c>
      <c r="B12" s="1" t="s">
        <v>12</v>
      </c>
      <c r="C12" s="1" t="s">
        <v>13</v>
      </c>
      <c r="D12" s="1"/>
      <c r="E12" s="1"/>
      <c r="F12" s="1"/>
      <c r="G12" s="1"/>
      <c r="H12" s="1"/>
    </row>
    <row r="13" spans="1:8">
      <c r="A13" s="1">
        <v>3</v>
      </c>
      <c r="B13" s="1" t="s">
        <v>14</v>
      </c>
      <c r="C13" s="1" t="s">
        <v>15</v>
      </c>
      <c r="D13" s="1"/>
      <c r="E13" s="1"/>
      <c r="F13" s="1"/>
      <c r="G13" s="1"/>
      <c r="H13" s="1"/>
    </row>
    <row r="14" spans="1:8">
      <c r="A14" s="1">
        <v>4</v>
      </c>
      <c r="B14" s="1" t="s">
        <v>16</v>
      </c>
      <c r="C14" s="1" t="s">
        <v>17</v>
      </c>
      <c r="D14" s="1"/>
      <c r="E14" s="1"/>
      <c r="F14" s="1"/>
      <c r="G14" s="1"/>
      <c r="H14" s="1"/>
    </row>
    <row r="15" spans="1:8">
      <c r="A15" s="1">
        <v>5</v>
      </c>
      <c r="B15" s="1" t="s">
        <v>18</v>
      </c>
      <c r="C15" s="1" t="s">
        <v>19</v>
      </c>
      <c r="D15" s="1"/>
      <c r="E15" s="1"/>
      <c r="F15" s="1"/>
      <c r="G15" s="1"/>
      <c r="H15" s="1"/>
    </row>
    <row r="16" spans="1:8">
      <c r="A16" s="1">
        <v>6</v>
      </c>
      <c r="B16" s="1" t="s">
        <v>20</v>
      </c>
      <c r="C16" s="1" t="s">
        <v>21</v>
      </c>
      <c r="D16" s="1"/>
      <c r="E16" s="1"/>
      <c r="F16" s="1"/>
      <c r="G16" s="1"/>
      <c r="H16" s="1"/>
    </row>
    <row r="17" spans="1:8">
      <c r="A17" s="1">
        <v>7</v>
      </c>
      <c r="B17" s="1" t="s">
        <v>22</v>
      </c>
      <c r="C17" s="1" t="s">
        <v>23</v>
      </c>
      <c r="D17" s="1"/>
      <c r="E17" s="1"/>
      <c r="F17" s="1"/>
      <c r="G17" s="1"/>
      <c r="H17" s="1"/>
    </row>
    <row r="18" spans="1:8">
      <c r="A18" s="1">
        <v>8</v>
      </c>
      <c r="B18" s="1" t="s">
        <v>24</v>
      </c>
      <c r="C18" s="1" t="s">
        <v>25</v>
      </c>
      <c r="D18" s="1"/>
      <c r="E18" s="1"/>
      <c r="F18" s="1"/>
      <c r="G18" s="1"/>
      <c r="H18" s="1"/>
    </row>
  </sheetData>
  <mergeCells count="2">
    <mergeCell ref="A1:H1"/>
    <mergeCell ref="A9:H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3"/>
  <sheetViews>
    <sheetView workbookViewId="0"/>
  </sheetViews>
  <sheetFormatPr defaultRowHeight="14.25"/>
  <cols>
    <col min="1" max="2" width="39.625" customWidth="1"/>
    <col min="3" max="3" width="9.625" customWidth="1"/>
    <col min="4" max="4" width="55.625" customWidth="1"/>
    <col min="5" max="6" width="9.625" customWidth="1"/>
  </cols>
  <sheetData>
    <row r="1" spans="1:6">
      <c r="A1" s="19" t="s">
        <v>26</v>
      </c>
      <c r="B1" s="20"/>
      <c r="C1" s="20"/>
      <c r="D1" s="22"/>
      <c r="E1" s="20"/>
      <c r="F1" s="20"/>
    </row>
    <row r="2" spans="1:6">
      <c r="A2" s="1"/>
      <c r="B2" s="1"/>
      <c r="C2" s="1"/>
      <c r="D2" s="1"/>
      <c r="E2" s="1"/>
      <c r="F2" s="1"/>
    </row>
    <row r="3" spans="1:6" ht="15">
      <c r="A3" s="4" t="s">
        <v>27</v>
      </c>
      <c r="B3" s="4" t="s">
        <v>28</v>
      </c>
      <c r="C3" s="4" t="s">
        <v>29</v>
      </c>
      <c r="D3" s="4" t="s">
        <v>30</v>
      </c>
      <c r="E3" s="1"/>
      <c r="F3" s="1"/>
    </row>
    <row r="4" spans="1:6">
      <c r="A4" s="1" t="s">
        <v>31</v>
      </c>
      <c r="B4" s="5" t="s">
        <v>32</v>
      </c>
      <c r="C4" s="1" t="s">
        <v>33</v>
      </c>
      <c r="D4" s="1" t="s">
        <v>174</v>
      </c>
      <c r="E4" s="1"/>
      <c r="F4" s="1"/>
    </row>
    <row r="5" spans="1:6" ht="28.5">
      <c r="A5" s="1" t="s">
        <v>34</v>
      </c>
      <c r="B5" s="6" t="s">
        <v>127</v>
      </c>
      <c r="C5" s="1" t="s">
        <v>33</v>
      </c>
      <c r="D5" s="1" t="s">
        <v>175</v>
      </c>
      <c r="E5" s="1"/>
      <c r="F5" s="1"/>
    </row>
    <row r="6" spans="1:6" ht="28.5">
      <c r="A6" s="1" t="s">
        <v>35</v>
      </c>
      <c r="B6" s="7">
        <v>121.14</v>
      </c>
      <c r="C6" s="1" t="s">
        <v>128</v>
      </c>
      <c r="D6" s="1" t="s">
        <v>176</v>
      </c>
      <c r="E6" s="1"/>
      <c r="F6" s="1"/>
    </row>
    <row r="7" spans="1:6">
      <c r="A7" s="1" t="s">
        <v>36</v>
      </c>
      <c r="B7" s="7">
        <v>0.08</v>
      </c>
      <c r="C7" s="1" t="s">
        <v>37</v>
      </c>
      <c r="D7" s="1" t="s">
        <v>177</v>
      </c>
      <c r="E7" s="1"/>
      <c r="F7" s="1"/>
    </row>
    <row r="8" spans="1:6">
      <c r="A8" s="1" t="s">
        <v>38</v>
      </c>
      <c r="B8" s="7">
        <v>0.04</v>
      </c>
      <c r="C8" s="1" t="s">
        <v>37</v>
      </c>
      <c r="D8" s="1" t="s">
        <v>178</v>
      </c>
      <c r="E8" s="1"/>
      <c r="F8" s="1"/>
    </row>
    <row r="9" spans="1:6" ht="42.75">
      <c r="A9" s="1" t="s">
        <v>39</v>
      </c>
      <c r="B9" s="7">
        <v>0.04</v>
      </c>
      <c r="C9" s="1" t="s">
        <v>37</v>
      </c>
      <c r="D9" s="1" t="s">
        <v>179</v>
      </c>
      <c r="E9" s="1"/>
      <c r="F9" s="1"/>
    </row>
    <row r="10" spans="1:6" ht="42.75">
      <c r="A10" s="1" t="s">
        <v>40</v>
      </c>
      <c r="B10" s="7">
        <v>1.2</v>
      </c>
      <c r="C10" s="1" t="s">
        <v>41</v>
      </c>
      <c r="D10" s="1" t="s">
        <v>182</v>
      </c>
      <c r="E10" s="1"/>
      <c r="F10" s="1"/>
    </row>
    <row r="11" spans="1:6" ht="42.75">
      <c r="A11" s="1" t="s">
        <v>42</v>
      </c>
      <c r="B11" s="7">
        <v>0.4</v>
      </c>
      <c r="C11" s="1" t="s">
        <v>37</v>
      </c>
      <c r="D11" s="1" t="s">
        <v>206</v>
      </c>
      <c r="E11" s="1"/>
      <c r="F11" s="1"/>
    </row>
    <row r="12" spans="1:6">
      <c r="A12" s="1" t="s">
        <v>43</v>
      </c>
      <c r="B12" s="7">
        <v>0.6</v>
      </c>
      <c r="C12" s="1" t="s">
        <v>37</v>
      </c>
      <c r="D12" s="1" t="s">
        <v>180</v>
      </c>
      <c r="E12" s="1"/>
      <c r="F12" s="1"/>
    </row>
    <row r="13" spans="1:6">
      <c r="A13" s="1" t="s">
        <v>44</v>
      </c>
      <c r="B13" s="7">
        <v>0.5</v>
      </c>
      <c r="C13" s="1" t="s">
        <v>37</v>
      </c>
      <c r="D13" s="1" t="s">
        <v>181</v>
      </c>
      <c r="E13" s="1"/>
      <c r="F13" s="1"/>
    </row>
  </sheetData>
  <mergeCells count="1">
    <mergeCell ref="A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5"/>
  <sheetViews>
    <sheetView workbookViewId="0"/>
  </sheetViews>
  <sheetFormatPr defaultRowHeight="14.25"/>
  <cols>
    <col min="1" max="1" width="60.625" customWidth="1"/>
    <col min="2" max="2" width="55.625" customWidth="1"/>
    <col min="3" max="3" width="28" customWidth="1"/>
    <col min="4" max="4" width="23.625" customWidth="1"/>
    <col min="5" max="5" width="9.625" customWidth="1"/>
    <col min="6" max="6" width="29.625" customWidth="1"/>
    <col min="7" max="7" width="21.625" customWidth="1"/>
    <col min="8" max="8" width="18.625" customWidth="1"/>
    <col min="9" max="9" width="23.625" customWidth="1"/>
    <col min="10" max="10" width="17.625" customWidth="1"/>
  </cols>
  <sheetData>
    <row r="1" spans="1:10" ht="15" customHeight="1">
      <c r="A1" s="19" t="s">
        <v>45</v>
      </c>
      <c r="B1" s="20"/>
      <c r="C1" s="20"/>
      <c r="D1" s="20"/>
      <c r="E1" s="20"/>
      <c r="F1" s="20"/>
      <c r="G1" s="20"/>
      <c r="H1" s="20"/>
      <c r="I1" s="20"/>
      <c r="J1" s="20"/>
    </row>
    <row r="2" spans="1:10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ht="30">
      <c r="A3" s="4" t="s">
        <v>7</v>
      </c>
      <c r="B3" s="4" t="s">
        <v>46</v>
      </c>
      <c r="C3" s="4" t="s">
        <v>47</v>
      </c>
      <c r="D3" s="4" t="s">
        <v>48</v>
      </c>
      <c r="E3" s="4" t="s">
        <v>49</v>
      </c>
      <c r="F3" s="4" t="s">
        <v>50</v>
      </c>
      <c r="G3" s="4" t="s">
        <v>51</v>
      </c>
      <c r="H3" s="4" t="s">
        <v>52</v>
      </c>
      <c r="I3" s="4" t="s">
        <v>53</v>
      </c>
      <c r="J3" s="4" t="s">
        <v>54</v>
      </c>
    </row>
    <row r="4" spans="1:10">
      <c r="A4" s="3">
        <v>1</v>
      </c>
      <c r="B4" s="3" t="s">
        <v>129</v>
      </c>
      <c r="C4" s="3" t="s">
        <v>55</v>
      </c>
      <c r="D4" s="3" t="s">
        <v>56</v>
      </c>
      <c r="E4" s="3" t="s">
        <v>57</v>
      </c>
      <c r="F4" s="6">
        <v>5</v>
      </c>
      <c r="G4" s="8" t="s">
        <v>130</v>
      </c>
      <c r="H4" s="8">
        <v>1</v>
      </c>
      <c r="I4" s="8">
        <v>0.9</v>
      </c>
      <c r="J4" s="9">
        <f t="shared" ref="J4:J13" si="0">F4*H4*I4</f>
        <v>4.5</v>
      </c>
    </row>
    <row r="5" spans="1:10">
      <c r="A5" s="3">
        <v>2</v>
      </c>
      <c r="B5" s="3" t="s">
        <v>131</v>
      </c>
      <c r="C5" s="3" t="s">
        <v>55</v>
      </c>
      <c r="D5" s="3" t="s">
        <v>56</v>
      </c>
      <c r="E5" s="3" t="s">
        <v>57</v>
      </c>
      <c r="F5" s="6">
        <v>7</v>
      </c>
      <c r="G5" s="8" t="s">
        <v>130</v>
      </c>
      <c r="H5" s="8">
        <v>0.7</v>
      </c>
      <c r="I5" s="8">
        <v>0.85</v>
      </c>
      <c r="J5" s="9">
        <f t="shared" si="0"/>
        <v>4.1649999999999991</v>
      </c>
    </row>
    <row r="6" spans="1:10">
      <c r="A6" s="3">
        <v>3</v>
      </c>
      <c r="B6" s="3" t="s">
        <v>132</v>
      </c>
      <c r="C6" s="3" t="s">
        <v>60</v>
      </c>
      <c r="D6" s="3" t="s">
        <v>133</v>
      </c>
      <c r="E6" s="3" t="s">
        <v>57</v>
      </c>
      <c r="F6" s="6">
        <v>28</v>
      </c>
      <c r="G6" s="8" t="s">
        <v>130</v>
      </c>
      <c r="H6" s="8">
        <v>1</v>
      </c>
      <c r="I6" s="8">
        <v>0.65</v>
      </c>
      <c r="J6" s="9">
        <f t="shared" si="0"/>
        <v>18.2</v>
      </c>
    </row>
    <row r="7" spans="1:10">
      <c r="A7" s="3">
        <v>4</v>
      </c>
      <c r="B7" s="3" t="s">
        <v>134</v>
      </c>
      <c r="C7" s="3" t="s">
        <v>60</v>
      </c>
      <c r="D7" s="3" t="s">
        <v>133</v>
      </c>
      <c r="E7" s="3" t="s">
        <v>57</v>
      </c>
      <c r="F7" s="6">
        <v>28</v>
      </c>
      <c r="G7" s="8" t="s">
        <v>130</v>
      </c>
      <c r="H7" s="8">
        <v>0.9</v>
      </c>
      <c r="I7" s="8">
        <v>0.65</v>
      </c>
      <c r="J7" s="9">
        <f t="shared" si="0"/>
        <v>16.38</v>
      </c>
    </row>
    <row r="8" spans="1:10">
      <c r="A8" s="3">
        <v>5</v>
      </c>
      <c r="B8" s="3" t="s">
        <v>135</v>
      </c>
      <c r="C8" s="3" t="s">
        <v>60</v>
      </c>
      <c r="D8" s="3" t="s">
        <v>133</v>
      </c>
      <c r="E8" s="3" t="s">
        <v>57</v>
      </c>
      <c r="F8" s="6">
        <v>14</v>
      </c>
      <c r="G8" s="8" t="s">
        <v>130</v>
      </c>
      <c r="H8" s="8">
        <v>0.9</v>
      </c>
      <c r="I8" s="8">
        <v>0.7</v>
      </c>
      <c r="J8" s="9">
        <f t="shared" si="0"/>
        <v>8.8199999999999985</v>
      </c>
    </row>
    <row r="9" spans="1:10">
      <c r="A9" s="3">
        <v>6</v>
      </c>
      <c r="B9" s="3" t="s">
        <v>136</v>
      </c>
      <c r="C9" s="3" t="s">
        <v>60</v>
      </c>
      <c r="D9" s="3" t="s">
        <v>137</v>
      </c>
      <c r="E9" s="3" t="s">
        <v>57</v>
      </c>
      <c r="F9" s="6">
        <v>76</v>
      </c>
      <c r="G9" s="8" t="s">
        <v>130</v>
      </c>
      <c r="H9" s="8">
        <v>0.7</v>
      </c>
      <c r="I9" s="8">
        <v>0.55000000000000004</v>
      </c>
      <c r="J9" s="9">
        <f t="shared" si="0"/>
        <v>29.26</v>
      </c>
    </row>
    <row r="10" spans="1:10">
      <c r="A10" s="3">
        <v>7</v>
      </c>
      <c r="B10" s="3" t="s">
        <v>138</v>
      </c>
      <c r="C10" s="3" t="s">
        <v>58</v>
      </c>
      <c r="D10" s="3" t="s">
        <v>59</v>
      </c>
      <c r="E10" s="3" t="s">
        <v>57</v>
      </c>
      <c r="F10" s="6">
        <v>11</v>
      </c>
      <c r="G10" s="8" t="s">
        <v>130</v>
      </c>
      <c r="H10" s="8">
        <v>1</v>
      </c>
      <c r="I10" s="8">
        <v>0.45</v>
      </c>
      <c r="J10" s="9">
        <f t="shared" si="0"/>
        <v>4.95</v>
      </c>
    </row>
    <row r="11" spans="1:10">
      <c r="A11" s="3">
        <v>8</v>
      </c>
      <c r="B11" s="3" t="s">
        <v>139</v>
      </c>
      <c r="C11" s="3" t="s">
        <v>58</v>
      </c>
      <c r="D11" s="3" t="s">
        <v>59</v>
      </c>
      <c r="E11" s="3" t="s">
        <v>57</v>
      </c>
      <c r="F11" s="6">
        <v>10</v>
      </c>
      <c r="G11" s="8" t="s">
        <v>130</v>
      </c>
      <c r="H11" s="8">
        <v>0.9</v>
      </c>
      <c r="I11" s="8">
        <v>0.4</v>
      </c>
      <c r="J11" s="9">
        <f t="shared" si="0"/>
        <v>3.6</v>
      </c>
    </row>
    <row r="12" spans="1:10">
      <c r="A12" s="3">
        <v>9</v>
      </c>
      <c r="B12" s="3" t="s">
        <v>140</v>
      </c>
      <c r="C12" s="3" t="s">
        <v>141</v>
      </c>
      <c r="D12" s="3" t="s">
        <v>142</v>
      </c>
      <c r="E12" s="3" t="s">
        <v>57</v>
      </c>
      <c r="F12" s="6">
        <v>591</v>
      </c>
      <c r="G12" s="8">
        <v>14.52</v>
      </c>
      <c r="H12" s="8">
        <v>1</v>
      </c>
      <c r="I12" s="8">
        <v>0.2</v>
      </c>
      <c r="J12" s="9">
        <f t="shared" si="0"/>
        <v>118.2</v>
      </c>
    </row>
    <row r="13" spans="1:10">
      <c r="A13" s="3">
        <v>10</v>
      </c>
      <c r="B13" s="3" t="s">
        <v>143</v>
      </c>
      <c r="C13" s="3" t="s">
        <v>144</v>
      </c>
      <c r="D13" s="3" t="s">
        <v>145</v>
      </c>
      <c r="E13" s="3" t="s">
        <v>57</v>
      </c>
      <c r="F13" s="6">
        <v>1163</v>
      </c>
      <c r="G13" s="8" t="s">
        <v>130</v>
      </c>
      <c r="H13" s="8">
        <v>0</v>
      </c>
      <c r="I13" s="8">
        <v>0</v>
      </c>
      <c r="J13" s="9">
        <f t="shared" si="0"/>
        <v>0</v>
      </c>
    </row>
    <row r="14" spans="1:10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spans="1:10" ht="85.5">
      <c r="A15" s="1" t="s">
        <v>146</v>
      </c>
      <c r="B15" s="1" t="s">
        <v>183</v>
      </c>
      <c r="C15" s="1"/>
      <c r="D15" s="1"/>
      <c r="E15" s="1"/>
      <c r="F15" s="1"/>
      <c r="G15" s="1"/>
      <c r="H15" s="1"/>
      <c r="I15" s="1"/>
      <c r="J15" s="1"/>
    </row>
  </sheetData>
  <mergeCells count="1">
    <mergeCell ref="A1:J1"/>
  </mergeCells>
  <conditionalFormatting sqref="J4:J13">
    <cfRule type="dataBar" priority="1">
      <dataBar>
        <cfvo type="min"/>
        <cfvo type="max"/>
        <color rgb="FF5B9BD5"/>
      </dataBar>
    </cfRule>
    <cfRule type="dataBar" priority="2">
      <dataBar>
        <cfvo type="min"/>
        <cfvo type="max"/>
        <color rgb="FF5B9BD5"/>
      </dataBar>
      <extLst>
        <ext xmlns:x14="http://schemas.microsoft.com/office/spreadsheetml/2009/9/main" uri="{B025F937-C7B1-47D3-B67F-A62EFF666E3E}">
          <x14:id>{11F22920-8A79-DA3D-FDA2-11943E2D0ECB}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1F22920-8A79-DA3D-FDA2-11943E2D0ECB}">
            <x14:dataBar>
              <x14:cfvo type="min"/>
              <x14:cfvo type="max"/>
              <x14:negativeFillColor auto="1"/>
              <x14:axisColor auto="1"/>
            </x14:dataBar>
          </x14:cfRule>
          <xm:sqref>J4:J13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7"/>
  <sheetViews>
    <sheetView workbookViewId="0"/>
  </sheetViews>
  <sheetFormatPr defaultRowHeight="14.25"/>
  <cols>
    <col min="1" max="1" width="55.625" customWidth="1"/>
    <col min="2" max="2" width="19.625" customWidth="1"/>
    <col min="3" max="3" width="19.375" customWidth="1"/>
    <col min="4" max="4" width="18.25" customWidth="1"/>
    <col min="5" max="5" width="16.375" customWidth="1"/>
    <col min="6" max="6" width="18.625" customWidth="1"/>
    <col min="7" max="7" width="55.625" customWidth="1"/>
    <col min="8" max="8" width="9.625" customWidth="1"/>
  </cols>
  <sheetData>
    <row r="1" spans="1:8" ht="15" customHeight="1">
      <c r="A1" s="19" t="s">
        <v>61</v>
      </c>
      <c r="B1" s="20"/>
      <c r="C1" s="20"/>
      <c r="D1" s="20"/>
      <c r="E1" s="20"/>
      <c r="F1" s="20"/>
      <c r="G1" s="20"/>
      <c r="H1" s="20"/>
    </row>
    <row r="2" spans="1:8">
      <c r="A2" s="1"/>
      <c r="B2" s="1"/>
      <c r="C2" s="1"/>
      <c r="D2" s="1"/>
      <c r="E2" s="1"/>
      <c r="F2" s="1"/>
      <c r="G2" s="1"/>
      <c r="H2" s="1"/>
    </row>
    <row r="3" spans="1:8" ht="30">
      <c r="A3" s="4" t="s">
        <v>62</v>
      </c>
      <c r="B3" s="4" t="s">
        <v>147</v>
      </c>
      <c r="C3" s="4" t="s">
        <v>148</v>
      </c>
      <c r="D3" s="4" t="s">
        <v>149</v>
      </c>
      <c r="E3" s="4" t="s">
        <v>150</v>
      </c>
      <c r="F3" s="4" t="s">
        <v>63</v>
      </c>
      <c r="G3" s="4" t="s">
        <v>30</v>
      </c>
      <c r="H3" s="1"/>
    </row>
    <row r="4" spans="1:8" ht="28.5">
      <c r="A4" s="10">
        <v>45900.875</v>
      </c>
      <c r="B4" s="11">
        <v>0</v>
      </c>
      <c r="C4" s="11">
        <v>0</v>
      </c>
      <c r="D4" s="11">
        <v>0</v>
      </c>
      <c r="E4" s="11">
        <v>0</v>
      </c>
      <c r="F4" s="12">
        <f t="shared" ref="F4:F15" si="0">AVERAGE(B4:E4)</f>
        <v>0</v>
      </c>
      <c r="G4" s="1" t="s">
        <v>151</v>
      </c>
      <c r="H4" s="1"/>
    </row>
    <row r="5" spans="1:8">
      <c r="A5" s="10">
        <v>45930.875</v>
      </c>
      <c r="B5" s="11">
        <v>27.75</v>
      </c>
      <c r="C5" s="11">
        <v>48</v>
      </c>
      <c r="D5" s="11">
        <v>0</v>
      </c>
      <c r="E5" s="11">
        <v>0</v>
      </c>
      <c r="F5" s="12">
        <f t="shared" si="0"/>
        <v>18.9375</v>
      </c>
      <c r="G5" s="1" t="s">
        <v>164</v>
      </c>
      <c r="H5" s="1"/>
    </row>
    <row r="6" spans="1:8">
      <c r="A6" s="10">
        <v>45961.875</v>
      </c>
      <c r="B6" s="11">
        <v>18.2</v>
      </c>
      <c r="C6" s="11">
        <v>16.399999999999999</v>
      </c>
      <c r="D6" s="11">
        <v>0</v>
      </c>
      <c r="E6" s="11">
        <v>0</v>
      </c>
      <c r="F6" s="12">
        <f t="shared" si="0"/>
        <v>8.6499999999999986</v>
      </c>
      <c r="G6" s="1" t="s">
        <v>164</v>
      </c>
      <c r="H6" s="1"/>
    </row>
    <row r="7" spans="1:8">
      <c r="A7" s="10">
        <v>45991.875</v>
      </c>
      <c r="B7" s="11">
        <v>67</v>
      </c>
      <c r="C7" s="11">
        <v>13</v>
      </c>
      <c r="D7" s="11">
        <v>30.5</v>
      </c>
      <c r="E7" s="11">
        <v>0</v>
      </c>
      <c r="F7" s="12">
        <f t="shared" si="0"/>
        <v>27.625</v>
      </c>
      <c r="G7" s="1" t="s">
        <v>164</v>
      </c>
      <c r="H7" s="1"/>
    </row>
    <row r="8" spans="1:8">
      <c r="A8" s="10">
        <v>46022.875</v>
      </c>
      <c r="B8" s="11">
        <v>0</v>
      </c>
      <c r="C8" s="11">
        <v>14.25</v>
      </c>
      <c r="D8" s="11">
        <v>0</v>
      </c>
      <c r="E8" s="11">
        <v>0</v>
      </c>
      <c r="F8" s="12">
        <f t="shared" si="0"/>
        <v>3.5625</v>
      </c>
      <c r="G8" s="1" t="s">
        <v>164</v>
      </c>
      <c r="H8" s="1"/>
    </row>
    <row r="9" spans="1:8">
      <c r="A9" s="10">
        <v>46053.875</v>
      </c>
      <c r="B9" s="11">
        <v>27</v>
      </c>
      <c r="C9" s="11">
        <v>52</v>
      </c>
      <c r="D9" s="11">
        <v>0</v>
      </c>
      <c r="E9" s="11">
        <v>0</v>
      </c>
      <c r="F9" s="12">
        <f t="shared" si="0"/>
        <v>19.75</v>
      </c>
      <c r="G9" s="1" t="s">
        <v>164</v>
      </c>
      <c r="H9" s="1"/>
    </row>
    <row r="10" spans="1:8">
      <c r="A10" s="10">
        <v>46081.875</v>
      </c>
      <c r="B10" s="11">
        <v>11.4</v>
      </c>
      <c r="C10" s="11">
        <v>0</v>
      </c>
      <c r="D10" s="11">
        <v>0</v>
      </c>
      <c r="E10" s="11">
        <v>0</v>
      </c>
      <c r="F10" s="12">
        <f t="shared" si="0"/>
        <v>2.85</v>
      </c>
      <c r="G10" s="1" t="s">
        <v>164</v>
      </c>
      <c r="H10" s="1"/>
    </row>
    <row r="11" spans="1:8">
      <c r="A11" s="10">
        <v>46112.875</v>
      </c>
      <c r="B11" s="11">
        <v>18.75</v>
      </c>
      <c r="C11" s="11">
        <v>13.5</v>
      </c>
      <c r="D11" s="11">
        <v>12.25</v>
      </c>
      <c r="E11" s="11">
        <v>14.25</v>
      </c>
      <c r="F11" s="12">
        <f t="shared" si="0"/>
        <v>14.6875</v>
      </c>
      <c r="G11" s="1" t="s">
        <v>164</v>
      </c>
      <c r="H11" s="1"/>
    </row>
    <row r="12" spans="1:8" ht="28.5">
      <c r="A12" s="10">
        <v>46142.875</v>
      </c>
      <c r="B12" s="11">
        <v>0</v>
      </c>
      <c r="C12" s="11">
        <v>0</v>
      </c>
      <c r="D12" s="11">
        <v>0</v>
      </c>
      <c r="E12" s="11">
        <v>0</v>
      </c>
      <c r="F12" s="12">
        <f t="shared" si="0"/>
        <v>0</v>
      </c>
      <c r="G12" s="1" t="s">
        <v>151</v>
      </c>
      <c r="H12" s="1"/>
    </row>
    <row r="13" spans="1:8" ht="28.5">
      <c r="A13" s="10">
        <v>46173.875</v>
      </c>
      <c r="B13" s="11">
        <v>0</v>
      </c>
      <c r="C13" s="11">
        <v>0</v>
      </c>
      <c r="D13" s="11">
        <v>0</v>
      </c>
      <c r="E13" s="11">
        <v>0</v>
      </c>
      <c r="F13" s="12">
        <f t="shared" si="0"/>
        <v>0</v>
      </c>
      <c r="G13" s="1" t="s">
        <v>151</v>
      </c>
      <c r="H13" s="1"/>
    </row>
    <row r="14" spans="1:8" ht="28.5">
      <c r="A14" s="10">
        <v>46203.875</v>
      </c>
      <c r="B14" s="11">
        <v>0</v>
      </c>
      <c r="C14" s="11">
        <v>0</v>
      </c>
      <c r="D14" s="11">
        <v>0</v>
      </c>
      <c r="E14" s="11">
        <v>0</v>
      </c>
      <c r="F14" s="12">
        <f t="shared" si="0"/>
        <v>0</v>
      </c>
      <c r="G14" s="1" t="s">
        <v>151</v>
      </c>
      <c r="H14" s="1"/>
    </row>
    <row r="15" spans="1:8" ht="28.5">
      <c r="A15" s="10">
        <v>46234.875</v>
      </c>
      <c r="B15" s="11">
        <v>0</v>
      </c>
      <c r="C15" s="11">
        <v>0</v>
      </c>
      <c r="D15" s="11">
        <v>0</v>
      </c>
      <c r="E15" s="11">
        <v>0</v>
      </c>
      <c r="F15" s="12">
        <f t="shared" si="0"/>
        <v>0</v>
      </c>
      <c r="G15" s="1" t="s">
        <v>151</v>
      </c>
      <c r="H15" s="1"/>
    </row>
    <row r="16" spans="1:8">
      <c r="A16" s="1"/>
      <c r="B16" s="1"/>
      <c r="C16" s="1"/>
      <c r="D16" s="1"/>
      <c r="E16" s="1"/>
      <c r="F16" s="1"/>
      <c r="G16" s="1"/>
      <c r="H16" s="1"/>
    </row>
    <row r="17" spans="1:8" ht="57">
      <c r="A17" s="1" t="s">
        <v>184</v>
      </c>
      <c r="B17" s="1"/>
      <c r="C17" s="1"/>
      <c r="D17" s="1"/>
      <c r="E17" s="1"/>
      <c r="F17" s="1"/>
      <c r="G17" s="1"/>
      <c r="H17" s="1"/>
    </row>
  </sheetData>
  <mergeCells count="1">
    <mergeCell ref="A1:H1"/>
  </mergeCell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17"/>
  <sheetViews>
    <sheetView workbookViewId="0"/>
  </sheetViews>
  <sheetFormatPr defaultRowHeight="14.25"/>
  <cols>
    <col min="1" max="1" width="55.625" customWidth="1"/>
    <col min="2" max="2" width="21.625" customWidth="1"/>
    <col min="3" max="3" width="19.625" customWidth="1"/>
    <col min="4" max="4" width="26.625" customWidth="1"/>
    <col min="5" max="5" width="18.625" customWidth="1"/>
    <col min="6" max="6" width="23.625" customWidth="1"/>
    <col min="7" max="7" width="26.625" customWidth="1"/>
    <col min="8" max="8" width="24.625" customWidth="1"/>
    <col min="9" max="10" width="9.625" customWidth="1"/>
    <col min="11" max="11" width="55.625" customWidth="1"/>
    <col min="12" max="12" width="11.625" customWidth="1"/>
  </cols>
  <sheetData>
    <row r="1" spans="1:12" ht="15" customHeight="1">
      <c r="A1" s="19" t="s">
        <v>64</v>
      </c>
      <c r="B1" s="20"/>
      <c r="C1" s="20"/>
      <c r="D1" s="20"/>
      <c r="E1" s="20"/>
      <c r="F1" s="20"/>
      <c r="G1" s="20"/>
      <c r="H1" s="20"/>
      <c r="I1" s="1"/>
      <c r="J1" s="1"/>
      <c r="K1" s="1"/>
      <c r="L1" s="1"/>
    </row>
    <row r="2" spans="1:1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 ht="30">
      <c r="A3" s="4" t="s">
        <v>62</v>
      </c>
      <c r="B3" s="4" t="s">
        <v>65</v>
      </c>
      <c r="C3" s="4" t="s">
        <v>66</v>
      </c>
      <c r="D3" s="4" t="s">
        <v>67</v>
      </c>
      <c r="E3" s="4" t="s">
        <v>68</v>
      </c>
      <c r="F3" s="4" t="s">
        <v>69</v>
      </c>
      <c r="G3" s="4" t="s">
        <v>70</v>
      </c>
      <c r="H3" s="4" t="s">
        <v>71</v>
      </c>
      <c r="I3" s="1"/>
      <c r="J3" s="1"/>
      <c r="K3" s="1" t="s">
        <v>152</v>
      </c>
      <c r="L3" s="1" t="s">
        <v>153</v>
      </c>
    </row>
    <row r="4" spans="1:12">
      <c r="A4" s="10">
        <v>45900.875</v>
      </c>
      <c r="B4" s="6">
        <v>21</v>
      </c>
      <c r="C4" s="6">
        <v>119</v>
      </c>
      <c r="D4" s="6">
        <v>425</v>
      </c>
      <c r="E4" s="6">
        <v>0</v>
      </c>
      <c r="F4" s="13">
        <f t="shared" ref="F4:F15" si="0">SUM(B4:E4)</f>
        <v>565</v>
      </c>
      <c r="G4" s="7">
        <f t="shared" ref="G4:G15" si="1">IF(F4=0,0,(B4*$L$4+C4*$L$5+D4*$L$6+E4*$L$7)/F4)</f>
        <v>0.61716814159292033</v>
      </c>
      <c r="H4" s="13">
        <f t="shared" ref="H4:H15" si="2">F4*G4</f>
        <v>348.7</v>
      </c>
      <c r="I4" s="1"/>
      <c r="J4" s="1"/>
      <c r="K4" s="1" t="s">
        <v>65</v>
      </c>
      <c r="L4" s="1">
        <v>0.9</v>
      </c>
    </row>
    <row r="5" spans="1:12">
      <c r="A5" s="10">
        <v>45930.875</v>
      </c>
      <c r="B5" s="6">
        <v>17</v>
      </c>
      <c r="C5" s="6">
        <v>113</v>
      </c>
      <c r="D5" s="6">
        <v>562</v>
      </c>
      <c r="E5" s="6">
        <v>0</v>
      </c>
      <c r="F5" s="13">
        <f t="shared" si="0"/>
        <v>692</v>
      </c>
      <c r="G5" s="7">
        <f t="shared" si="1"/>
        <v>0.62348265895953758</v>
      </c>
      <c r="H5" s="13">
        <f t="shared" si="2"/>
        <v>431.45</v>
      </c>
      <c r="I5" s="1"/>
      <c r="J5" s="1"/>
      <c r="K5" s="1" t="s">
        <v>66</v>
      </c>
      <c r="L5" s="1">
        <v>0.45</v>
      </c>
    </row>
    <row r="6" spans="1:12">
      <c r="A6" s="10">
        <v>45961.875</v>
      </c>
      <c r="B6" s="6">
        <v>15</v>
      </c>
      <c r="C6" s="6">
        <v>110</v>
      </c>
      <c r="D6" s="6">
        <v>574</v>
      </c>
      <c r="E6" s="6">
        <v>0</v>
      </c>
      <c r="F6" s="13">
        <f t="shared" si="0"/>
        <v>699</v>
      </c>
      <c r="G6" s="7">
        <f t="shared" si="1"/>
        <v>0.62389127324749649</v>
      </c>
      <c r="H6" s="13">
        <f t="shared" si="2"/>
        <v>436.1</v>
      </c>
      <c r="I6" s="1"/>
      <c r="J6" s="1"/>
      <c r="K6" s="1" t="s">
        <v>67</v>
      </c>
      <c r="L6" s="1">
        <v>0.65</v>
      </c>
    </row>
    <row r="7" spans="1:12">
      <c r="A7" s="10">
        <v>45991.875</v>
      </c>
      <c r="B7" s="6">
        <v>20</v>
      </c>
      <c r="C7" s="6">
        <v>158</v>
      </c>
      <c r="D7" s="6">
        <v>669</v>
      </c>
      <c r="E7" s="6">
        <v>0</v>
      </c>
      <c r="F7" s="13">
        <f t="shared" si="0"/>
        <v>847</v>
      </c>
      <c r="G7" s="7">
        <f t="shared" si="1"/>
        <v>0.61859504132231413</v>
      </c>
      <c r="H7" s="13">
        <f t="shared" si="2"/>
        <v>523.95000000000005</v>
      </c>
      <c r="I7" s="1"/>
      <c r="J7" s="1"/>
      <c r="K7" s="1" t="s">
        <v>68</v>
      </c>
      <c r="L7" s="1">
        <v>0.3</v>
      </c>
    </row>
    <row r="8" spans="1:12" ht="28.5">
      <c r="A8" s="10">
        <v>46022.875</v>
      </c>
      <c r="B8" s="6">
        <v>32</v>
      </c>
      <c r="C8" s="6">
        <v>64</v>
      </c>
      <c r="D8" s="6">
        <v>238</v>
      </c>
      <c r="E8" s="6">
        <v>0</v>
      </c>
      <c r="F8" s="13">
        <f t="shared" si="0"/>
        <v>334</v>
      </c>
      <c r="G8" s="7">
        <f t="shared" si="1"/>
        <v>0.63562874251497015</v>
      </c>
      <c r="H8" s="13">
        <f t="shared" si="2"/>
        <v>212.30000000000004</v>
      </c>
      <c r="I8" s="1"/>
      <c r="J8" s="1"/>
      <c r="K8" s="1" t="s">
        <v>185</v>
      </c>
      <c r="L8" s="1"/>
    </row>
    <row r="9" spans="1:12">
      <c r="A9" s="10">
        <v>46053.875</v>
      </c>
      <c r="B9" s="6">
        <v>12</v>
      </c>
      <c r="C9" s="6">
        <v>46</v>
      </c>
      <c r="D9" s="6">
        <v>284</v>
      </c>
      <c r="E9" s="6">
        <v>0</v>
      </c>
      <c r="F9" s="13">
        <f t="shared" si="0"/>
        <v>342</v>
      </c>
      <c r="G9" s="7">
        <f t="shared" si="1"/>
        <v>0.63187134502923969</v>
      </c>
      <c r="H9" s="13">
        <f t="shared" si="2"/>
        <v>216.09999999999997</v>
      </c>
      <c r="I9" s="1"/>
      <c r="J9" s="1"/>
      <c r="K9" s="1"/>
      <c r="L9" s="1"/>
    </row>
    <row r="10" spans="1:12">
      <c r="A10" s="10">
        <v>46081.875</v>
      </c>
      <c r="B10" s="6">
        <v>50</v>
      </c>
      <c r="C10" s="6">
        <v>105</v>
      </c>
      <c r="D10" s="6">
        <v>494</v>
      </c>
      <c r="E10" s="6">
        <v>0</v>
      </c>
      <c r="F10" s="13">
        <f t="shared" si="0"/>
        <v>649</v>
      </c>
      <c r="G10" s="7">
        <f t="shared" si="1"/>
        <v>0.63690292758089373</v>
      </c>
      <c r="H10" s="13">
        <f t="shared" si="2"/>
        <v>413.35</v>
      </c>
      <c r="I10" s="1"/>
      <c r="J10" s="1"/>
      <c r="K10" s="1"/>
      <c r="L10" s="1"/>
    </row>
    <row r="11" spans="1:12">
      <c r="A11" s="10">
        <v>46112.875</v>
      </c>
      <c r="B11" s="6">
        <v>52</v>
      </c>
      <c r="C11" s="6">
        <v>94</v>
      </c>
      <c r="D11" s="6">
        <v>541</v>
      </c>
      <c r="E11" s="6">
        <v>0</v>
      </c>
      <c r="F11" s="13">
        <f t="shared" si="0"/>
        <v>687</v>
      </c>
      <c r="G11" s="7">
        <f t="shared" si="1"/>
        <v>0.64155749636098991</v>
      </c>
      <c r="H11" s="13">
        <f t="shared" si="2"/>
        <v>440.75000000000006</v>
      </c>
      <c r="I11" s="1"/>
      <c r="J11" s="1"/>
      <c r="K11" s="1"/>
      <c r="L11" s="1"/>
    </row>
    <row r="12" spans="1:12">
      <c r="A12" s="10">
        <v>46142.875</v>
      </c>
      <c r="B12" s="6">
        <v>23</v>
      </c>
      <c r="C12" s="6">
        <v>69</v>
      </c>
      <c r="D12" s="6">
        <v>589</v>
      </c>
      <c r="E12" s="6">
        <v>0</v>
      </c>
      <c r="F12" s="13">
        <f t="shared" si="0"/>
        <v>681</v>
      </c>
      <c r="G12" s="7">
        <f t="shared" si="1"/>
        <v>0.63817914831130695</v>
      </c>
      <c r="H12" s="13">
        <f t="shared" si="2"/>
        <v>434.6</v>
      </c>
      <c r="I12" s="1"/>
      <c r="J12" s="1"/>
      <c r="K12" s="1"/>
      <c r="L12" s="1"/>
    </row>
    <row r="13" spans="1:12">
      <c r="A13" s="10">
        <v>46173.875</v>
      </c>
      <c r="B13" s="6">
        <v>12</v>
      </c>
      <c r="C13" s="6">
        <v>66</v>
      </c>
      <c r="D13" s="6">
        <v>340</v>
      </c>
      <c r="E13" s="6">
        <v>0</v>
      </c>
      <c r="F13" s="13">
        <f t="shared" si="0"/>
        <v>418</v>
      </c>
      <c r="G13" s="7">
        <f t="shared" si="1"/>
        <v>0.62559808612440193</v>
      </c>
      <c r="H13" s="13">
        <f t="shared" si="2"/>
        <v>261.5</v>
      </c>
      <c r="I13" s="1"/>
      <c r="J13" s="1"/>
      <c r="K13" s="1"/>
      <c r="L13" s="1"/>
    </row>
    <row r="14" spans="1:12">
      <c r="A14" s="10">
        <v>46203.875</v>
      </c>
      <c r="B14" s="6">
        <v>18</v>
      </c>
      <c r="C14" s="6">
        <v>43</v>
      </c>
      <c r="D14" s="6">
        <v>125</v>
      </c>
      <c r="E14" s="6">
        <v>0</v>
      </c>
      <c r="F14" s="13">
        <f t="shared" si="0"/>
        <v>186</v>
      </c>
      <c r="G14" s="7">
        <f t="shared" si="1"/>
        <v>0.6279569892473118</v>
      </c>
      <c r="H14" s="13">
        <f t="shared" si="2"/>
        <v>116.8</v>
      </c>
      <c r="I14" s="1"/>
      <c r="J14" s="1"/>
      <c r="K14" s="1"/>
      <c r="L14" s="1"/>
    </row>
    <row r="15" spans="1:12">
      <c r="A15" s="10">
        <v>46234.875</v>
      </c>
      <c r="B15" s="6">
        <v>14</v>
      </c>
      <c r="C15" s="6">
        <v>34</v>
      </c>
      <c r="D15" s="6">
        <v>107</v>
      </c>
      <c r="E15" s="6">
        <v>0</v>
      </c>
      <c r="F15" s="13">
        <f t="shared" si="0"/>
        <v>155</v>
      </c>
      <c r="G15" s="7">
        <f t="shared" si="1"/>
        <v>0.6287096774193548</v>
      </c>
      <c r="H15" s="13">
        <f t="shared" si="2"/>
        <v>97.449999999999989</v>
      </c>
      <c r="I15" s="1"/>
      <c r="J15" s="1"/>
      <c r="K15" s="1"/>
      <c r="L15" s="1"/>
    </row>
    <row r="16" spans="1:1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</row>
    <row r="17" spans="1:12" ht="99.75">
      <c r="A17" s="1" t="s">
        <v>207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</row>
  </sheetData>
  <mergeCells count="1">
    <mergeCell ref="A1:H1"/>
  </mergeCell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5"/>
  <sheetViews>
    <sheetView workbookViewId="0"/>
  </sheetViews>
  <sheetFormatPr defaultRowHeight="14.25"/>
  <cols>
    <col min="1" max="1" width="60.625" customWidth="1"/>
    <col min="2" max="2" width="18.625" customWidth="1"/>
    <col min="3" max="3" width="17.625" customWidth="1"/>
    <col min="4" max="4" width="27.625" customWidth="1"/>
    <col min="5" max="5" width="17.625" customWidth="1"/>
    <col min="6" max="6" width="23.625" customWidth="1"/>
    <col min="7" max="7" width="14.625" customWidth="1"/>
    <col min="8" max="8" width="30" customWidth="1"/>
  </cols>
  <sheetData>
    <row r="1" spans="1:8" ht="15" customHeight="1">
      <c r="A1" s="19" t="s">
        <v>72</v>
      </c>
      <c r="B1" s="20"/>
      <c r="C1" s="20"/>
      <c r="D1" s="20"/>
      <c r="E1" s="20"/>
      <c r="F1" s="20"/>
      <c r="G1" s="20"/>
      <c r="H1" s="20"/>
    </row>
    <row r="2" spans="1:8">
      <c r="A2" s="1"/>
      <c r="B2" s="1"/>
      <c r="C2" s="1"/>
      <c r="D2" s="1"/>
      <c r="E2" s="1"/>
      <c r="F2" s="1"/>
      <c r="G2" s="1"/>
      <c r="H2" s="1"/>
    </row>
    <row r="3" spans="1:8" ht="30">
      <c r="A3" s="4" t="s">
        <v>62</v>
      </c>
      <c r="B3" s="4" t="s">
        <v>63</v>
      </c>
      <c r="C3" s="4" t="s">
        <v>73</v>
      </c>
      <c r="D3" s="4" t="s">
        <v>74</v>
      </c>
      <c r="E3" s="4" t="s">
        <v>75</v>
      </c>
      <c r="F3" s="4" t="s">
        <v>76</v>
      </c>
      <c r="G3" s="4" t="s">
        <v>77</v>
      </c>
      <c r="H3" s="4" t="s">
        <v>30</v>
      </c>
    </row>
    <row r="4" spans="1:8">
      <c r="A4" s="10">
        <f>'03_Google_Trends'!A4</f>
        <v>45900.875</v>
      </c>
      <c r="B4" s="14">
        <f>'03_Google_Trends'!F4</f>
        <v>0</v>
      </c>
      <c r="C4" s="14">
        <f t="shared" ref="C4:C15" si="0">IF(MAX($B$4:$B$15)=0,0,B4/MAX($B$4:$B$15)*100)</f>
        <v>0</v>
      </c>
      <c r="D4" s="15">
        <f>'04_Wordstat'!H4</f>
        <v>348.7</v>
      </c>
      <c r="E4" s="14">
        <f t="shared" ref="E4:E15" si="1">IF(MAX($D$4:$D$15)=0,0,D4/MAX($D$4:$D$15)*100)</f>
        <v>66.552151922893401</v>
      </c>
      <c r="F4" s="12">
        <f>C4*'01_Параметры'!$B$11+E4*'01_Параметры'!$B$12</f>
        <v>39.931291153736041</v>
      </c>
      <c r="G4" s="1" t="str">
        <f t="shared" ref="G4:G15" si="2">IF(F4&gt;=75,"высокий",IF(F4&gt;=45,"средний","низкий"))</f>
        <v>низкий</v>
      </c>
      <c r="H4" s="1" t="s">
        <v>164</v>
      </c>
    </row>
    <row r="5" spans="1:8">
      <c r="A5" s="10">
        <f>'03_Google_Trends'!A5</f>
        <v>45930.875</v>
      </c>
      <c r="B5" s="14">
        <f>'03_Google_Trends'!F5</f>
        <v>18.9375</v>
      </c>
      <c r="C5" s="14">
        <f t="shared" si="0"/>
        <v>68.552036199095028</v>
      </c>
      <c r="D5" s="15">
        <f>'04_Wordstat'!H5</f>
        <v>431.45</v>
      </c>
      <c r="E5" s="14">
        <f t="shared" si="1"/>
        <v>82.345643668288943</v>
      </c>
      <c r="F5" s="12">
        <f>C5*'01_Параметры'!$B$11+E5*'01_Параметры'!$B$12</f>
        <v>76.828200680611374</v>
      </c>
      <c r="G5" s="1" t="str">
        <f t="shared" si="2"/>
        <v>высокий</v>
      </c>
      <c r="H5" s="1" t="s">
        <v>164</v>
      </c>
    </row>
    <row r="6" spans="1:8">
      <c r="A6" s="10">
        <f>'03_Google_Trends'!A6</f>
        <v>45961.875</v>
      </c>
      <c r="B6" s="14">
        <f>'03_Google_Trends'!F6</f>
        <v>8.6499999999999986</v>
      </c>
      <c r="C6" s="14">
        <f t="shared" si="0"/>
        <v>31.312217194570131</v>
      </c>
      <c r="D6" s="15">
        <f>'04_Wordstat'!H6</f>
        <v>436.1</v>
      </c>
      <c r="E6" s="14">
        <f t="shared" si="1"/>
        <v>83.233132932531731</v>
      </c>
      <c r="F6" s="12">
        <f>C6*'01_Параметры'!$B$11+E6*'01_Параметры'!$B$12</f>
        <v>62.46476663734709</v>
      </c>
      <c r="G6" s="1" t="str">
        <f t="shared" si="2"/>
        <v>средний</v>
      </c>
      <c r="H6" s="1" t="s">
        <v>164</v>
      </c>
    </row>
    <row r="7" spans="1:8">
      <c r="A7" s="10">
        <f>'03_Google_Trends'!A7</f>
        <v>45991.875</v>
      </c>
      <c r="B7" s="14">
        <f>'03_Google_Trends'!F7</f>
        <v>27.625</v>
      </c>
      <c r="C7" s="14">
        <f t="shared" si="0"/>
        <v>100</v>
      </c>
      <c r="D7" s="15">
        <f>'04_Wordstat'!H7</f>
        <v>523.95000000000005</v>
      </c>
      <c r="E7" s="14">
        <f t="shared" si="1"/>
        <v>100</v>
      </c>
      <c r="F7" s="12">
        <f>C7*'01_Параметры'!$B$11+E7*'01_Параметры'!$B$12</f>
        <v>100</v>
      </c>
      <c r="G7" s="1" t="str">
        <f t="shared" si="2"/>
        <v>высокий</v>
      </c>
      <c r="H7" s="1" t="s">
        <v>164</v>
      </c>
    </row>
    <row r="8" spans="1:8">
      <c r="A8" s="10">
        <f>'03_Google_Trends'!A8</f>
        <v>46022.875</v>
      </c>
      <c r="B8" s="14">
        <f>'03_Google_Trends'!F8</f>
        <v>3.5625</v>
      </c>
      <c r="C8" s="14">
        <f t="shared" si="0"/>
        <v>12.895927601809957</v>
      </c>
      <c r="D8" s="15">
        <f>'04_Wordstat'!H8</f>
        <v>212.30000000000004</v>
      </c>
      <c r="E8" s="14">
        <f t="shared" si="1"/>
        <v>40.519133505105451</v>
      </c>
      <c r="F8" s="12">
        <f>C8*'01_Параметры'!$B$11+E8*'01_Параметры'!$B$12</f>
        <v>29.469851143787253</v>
      </c>
      <c r="G8" s="1" t="str">
        <f t="shared" si="2"/>
        <v>низкий</v>
      </c>
      <c r="H8" s="1" t="s">
        <v>164</v>
      </c>
    </row>
    <row r="9" spans="1:8">
      <c r="A9" s="10">
        <f>'03_Google_Trends'!A9</f>
        <v>46053.875</v>
      </c>
      <c r="B9" s="14">
        <f>'03_Google_Trends'!F9</f>
        <v>19.75</v>
      </c>
      <c r="C9" s="14">
        <f t="shared" si="0"/>
        <v>71.49321266968326</v>
      </c>
      <c r="D9" s="15">
        <f>'04_Wordstat'!H9</f>
        <v>216.09999999999997</v>
      </c>
      <c r="E9" s="14">
        <f t="shared" si="1"/>
        <v>41.244393549002758</v>
      </c>
      <c r="F9" s="12">
        <f>C9*'01_Параметры'!$B$11+E9*'01_Параметры'!$B$12</f>
        <v>53.343921197274959</v>
      </c>
      <c r="G9" s="1" t="str">
        <f t="shared" si="2"/>
        <v>средний</v>
      </c>
      <c r="H9" s="1" t="s">
        <v>164</v>
      </c>
    </row>
    <row r="10" spans="1:8">
      <c r="A10" s="10">
        <f>'03_Google_Trends'!A10</f>
        <v>46081.875</v>
      </c>
      <c r="B10" s="14">
        <f>'03_Google_Trends'!F10</f>
        <v>2.85</v>
      </c>
      <c r="C10" s="14">
        <f t="shared" si="0"/>
        <v>10.316742081447964</v>
      </c>
      <c r="D10" s="15">
        <f>'04_Wordstat'!H10</f>
        <v>413.35</v>
      </c>
      <c r="E10" s="14">
        <f t="shared" si="1"/>
        <v>78.891115564462254</v>
      </c>
      <c r="F10" s="12">
        <f>C10*'01_Параметры'!$B$11+E10*'01_Параметры'!$B$12</f>
        <v>51.461366171256536</v>
      </c>
      <c r="G10" s="1" t="str">
        <f t="shared" si="2"/>
        <v>средний</v>
      </c>
      <c r="H10" s="1" t="s">
        <v>164</v>
      </c>
    </row>
    <row r="11" spans="1:8">
      <c r="A11" s="10">
        <f>'03_Google_Trends'!A11</f>
        <v>46112.875</v>
      </c>
      <c r="B11" s="14">
        <f>'03_Google_Trends'!F11</f>
        <v>14.6875</v>
      </c>
      <c r="C11" s="14">
        <f t="shared" si="0"/>
        <v>53.167420814479641</v>
      </c>
      <c r="D11" s="15">
        <f>'04_Wordstat'!H11</f>
        <v>440.75000000000006</v>
      </c>
      <c r="E11" s="14">
        <f t="shared" si="1"/>
        <v>84.120622196774505</v>
      </c>
      <c r="F11" s="12">
        <f>C11*'01_Параметры'!$B$11+E11*'01_Параметры'!$B$12</f>
        <v>71.739341643856562</v>
      </c>
      <c r="G11" s="1" t="str">
        <f t="shared" si="2"/>
        <v>средний</v>
      </c>
      <c r="H11" s="1" t="s">
        <v>164</v>
      </c>
    </row>
    <row r="12" spans="1:8">
      <c r="A12" s="10">
        <f>'03_Google_Trends'!A12</f>
        <v>46142.875</v>
      </c>
      <c r="B12" s="14">
        <f>'03_Google_Trends'!F12</f>
        <v>0</v>
      </c>
      <c r="C12" s="14">
        <f t="shared" si="0"/>
        <v>0</v>
      </c>
      <c r="D12" s="15">
        <f>'04_Wordstat'!H12</f>
        <v>434.6</v>
      </c>
      <c r="E12" s="14">
        <f t="shared" si="1"/>
        <v>82.946846073098584</v>
      </c>
      <c r="F12" s="12">
        <f>C12*'01_Параметры'!$B$11+E12*'01_Параметры'!$B$12</f>
        <v>49.768107643859146</v>
      </c>
      <c r="G12" s="1" t="str">
        <f t="shared" si="2"/>
        <v>средний</v>
      </c>
      <c r="H12" s="1" t="s">
        <v>164</v>
      </c>
    </row>
    <row r="13" spans="1:8">
      <c r="A13" s="10">
        <f>'03_Google_Trends'!A13</f>
        <v>46173.875</v>
      </c>
      <c r="B13" s="14">
        <f>'03_Google_Trends'!F13</f>
        <v>0</v>
      </c>
      <c r="C13" s="14">
        <f t="shared" si="0"/>
        <v>0</v>
      </c>
      <c r="D13" s="15">
        <f>'04_Wordstat'!H13</f>
        <v>261.5</v>
      </c>
      <c r="E13" s="14">
        <f t="shared" si="1"/>
        <v>49.909342494512835</v>
      </c>
      <c r="F13" s="12">
        <f>C13*'01_Параметры'!$B$11+E13*'01_Параметры'!$B$12</f>
        <v>29.945605496707699</v>
      </c>
      <c r="G13" s="1" t="str">
        <f t="shared" si="2"/>
        <v>низкий</v>
      </c>
      <c r="H13" s="1" t="s">
        <v>164</v>
      </c>
    </row>
    <row r="14" spans="1:8">
      <c r="A14" s="10">
        <f>'03_Google_Trends'!A14</f>
        <v>46203.875</v>
      </c>
      <c r="B14" s="14">
        <f>'03_Google_Trends'!F14</f>
        <v>0</v>
      </c>
      <c r="C14" s="14">
        <f t="shared" si="0"/>
        <v>0</v>
      </c>
      <c r="D14" s="15">
        <f>'04_Wordstat'!H14</f>
        <v>116.8</v>
      </c>
      <c r="E14" s="14">
        <f t="shared" si="1"/>
        <v>22.292203454528099</v>
      </c>
      <c r="F14" s="12">
        <f>C14*'01_Параметры'!$B$11+E14*'01_Параметры'!$B$12</f>
        <v>13.375322072716859</v>
      </c>
      <c r="G14" s="1" t="str">
        <f t="shared" si="2"/>
        <v>низкий</v>
      </c>
      <c r="H14" s="1" t="s">
        <v>164</v>
      </c>
    </row>
    <row r="15" spans="1:8">
      <c r="A15" s="10">
        <f>'03_Google_Trends'!A15</f>
        <v>46234.875</v>
      </c>
      <c r="B15" s="14">
        <f>'03_Google_Trends'!F15</f>
        <v>0</v>
      </c>
      <c r="C15" s="14">
        <f t="shared" si="0"/>
        <v>0</v>
      </c>
      <c r="D15" s="15">
        <f>'04_Wordstat'!H15</f>
        <v>97.449999999999989</v>
      </c>
      <c r="E15" s="14">
        <f t="shared" si="1"/>
        <v>18.599102967840437</v>
      </c>
      <c r="F15" s="12">
        <f>C15*'01_Параметры'!$B$11+E15*'01_Параметры'!$B$12</f>
        <v>11.159461780704262</v>
      </c>
      <c r="G15" s="1" t="str">
        <f t="shared" si="2"/>
        <v>низкий</v>
      </c>
      <c r="H15" s="1" t="s">
        <v>164</v>
      </c>
    </row>
  </sheetData>
  <mergeCells count="1">
    <mergeCell ref="A1:H1"/>
  </mergeCells>
  <conditionalFormatting sqref="F4:F15">
    <cfRule type="colorScale" priority="1">
      <colorScale>
        <cfvo type="min"/>
        <cfvo type="percentile" val="50"/>
        <cfvo type="max"/>
        <color rgb="FFFCE4D6"/>
        <color rgb="FFFFF2CC"/>
        <color rgb="FFE2F0D9"/>
      </colorScale>
    </cfRule>
  </conditionalFormatting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14"/>
  <sheetViews>
    <sheetView workbookViewId="0"/>
  </sheetViews>
  <sheetFormatPr defaultRowHeight="14.25"/>
  <cols>
    <col min="1" max="1" width="55.625" customWidth="1"/>
    <col min="2" max="2" width="18.625" customWidth="1"/>
    <col min="3" max="3" width="19.625" customWidth="1"/>
    <col min="4" max="4" width="17.625" customWidth="1"/>
    <col min="5" max="5" width="55.625" customWidth="1"/>
    <col min="6" max="10" width="9.625" customWidth="1"/>
  </cols>
  <sheetData>
    <row r="1" spans="1:10" ht="15" customHeight="1">
      <c r="A1" s="19" t="s">
        <v>78</v>
      </c>
      <c r="B1" s="20"/>
      <c r="C1" s="20"/>
      <c r="D1" s="20"/>
      <c r="E1" s="22"/>
      <c r="F1" s="20"/>
      <c r="G1" s="20"/>
      <c r="H1" s="20"/>
      <c r="I1" s="20"/>
      <c r="J1" s="20"/>
    </row>
    <row r="2" spans="1:10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ht="15">
      <c r="A3" s="4" t="s">
        <v>79</v>
      </c>
      <c r="B3" s="4" t="s">
        <v>80</v>
      </c>
      <c r="C3" s="4" t="s">
        <v>81</v>
      </c>
      <c r="D3" s="4" t="s">
        <v>82</v>
      </c>
      <c r="E3" s="4" t="s">
        <v>30</v>
      </c>
      <c r="F3" s="1"/>
      <c r="G3" s="1"/>
      <c r="H3" s="1"/>
      <c r="I3" s="1"/>
      <c r="J3" s="1"/>
    </row>
    <row r="4" spans="1:10">
      <c r="A4" s="1" t="s">
        <v>83</v>
      </c>
      <c r="B4" s="13">
        <f>AVERAGE('04_Wordstat'!$H$4:$H$15)</f>
        <v>327.75416666666666</v>
      </c>
      <c r="C4" s="13">
        <f>AVERAGE('04_Wordstat'!$H$4:$H$15)</f>
        <v>327.75416666666666</v>
      </c>
      <c r="D4" s="13">
        <f>AVERAGE('04_Wordstat'!$H$4:$H$15)</f>
        <v>327.75416666666666</v>
      </c>
      <c r="E4" s="1" t="s">
        <v>186</v>
      </c>
      <c r="F4" s="1"/>
      <c r="G4" s="1"/>
      <c r="H4" s="1"/>
      <c r="I4" s="1"/>
      <c r="J4" s="1"/>
    </row>
    <row r="5" spans="1:10">
      <c r="A5" s="1" t="s">
        <v>36</v>
      </c>
      <c r="B5" s="7">
        <v>0.04</v>
      </c>
      <c r="C5" s="7">
        <v>0.08</v>
      </c>
      <c r="D5" s="7">
        <v>0.12</v>
      </c>
      <c r="E5" s="1" t="s">
        <v>187</v>
      </c>
      <c r="F5" s="1"/>
      <c r="G5" s="1"/>
      <c r="H5" s="1"/>
      <c r="I5" s="1"/>
      <c r="J5" s="1"/>
    </row>
    <row r="6" spans="1:10">
      <c r="A6" s="1" t="s">
        <v>84</v>
      </c>
      <c r="B6" s="13">
        <f>B4*B5</f>
        <v>13.110166666666666</v>
      </c>
      <c r="C6" s="13">
        <f>C4*C5</f>
        <v>26.220333333333333</v>
      </c>
      <c r="D6" s="13">
        <f>D4*D5</f>
        <v>39.330500000000001</v>
      </c>
      <c r="E6" s="1" t="s">
        <v>188</v>
      </c>
      <c r="F6" s="1"/>
      <c r="G6" s="1"/>
      <c r="H6" s="1"/>
      <c r="I6" s="1"/>
      <c r="J6" s="1"/>
    </row>
    <row r="7" spans="1:10">
      <c r="A7" s="1" t="s">
        <v>38</v>
      </c>
      <c r="B7" s="7">
        <v>0.02</v>
      </c>
      <c r="C7" s="7">
        <v>0.04</v>
      </c>
      <c r="D7" s="7">
        <v>7.0000000000000007E-2</v>
      </c>
      <c r="E7" s="1" t="s">
        <v>189</v>
      </c>
      <c r="F7" s="1"/>
      <c r="G7" s="1"/>
      <c r="H7" s="1"/>
      <c r="I7" s="1"/>
      <c r="J7" s="1"/>
    </row>
    <row r="8" spans="1:10">
      <c r="A8" s="1" t="s">
        <v>85</v>
      </c>
      <c r="B8" s="13">
        <f>B6*B7</f>
        <v>0.26220333333333334</v>
      </c>
      <c r="C8" s="13">
        <f>C6*C7</f>
        <v>1.0488133333333334</v>
      </c>
      <c r="D8" s="13">
        <f>D6*D7</f>
        <v>2.7531350000000003</v>
      </c>
      <c r="E8" s="1" t="s">
        <v>190</v>
      </c>
      <c r="F8" s="1"/>
      <c r="G8" s="1"/>
      <c r="H8" s="1"/>
      <c r="I8" s="1"/>
      <c r="J8" s="1"/>
    </row>
    <row r="9" spans="1:10" ht="28.5">
      <c r="A9" s="1" t="s">
        <v>39</v>
      </c>
      <c r="B9" s="7">
        <v>0.03</v>
      </c>
      <c r="C9" s="7">
        <v>0.04</v>
      </c>
      <c r="D9" s="7">
        <v>0.05</v>
      </c>
      <c r="E9" s="1" t="s">
        <v>191</v>
      </c>
      <c r="F9" s="1"/>
      <c r="G9" s="1"/>
      <c r="H9" s="1"/>
      <c r="I9" s="1"/>
      <c r="J9" s="1"/>
    </row>
    <row r="10" spans="1:10">
      <c r="A10" s="1" t="s">
        <v>86</v>
      </c>
      <c r="B10" s="12">
        <f>B8*B9</f>
        <v>7.8661000000000009E-3</v>
      </c>
      <c r="C10" s="12">
        <f>C8*C9</f>
        <v>4.1952533333333333E-2</v>
      </c>
      <c r="D10" s="12">
        <f>D8*D9</f>
        <v>0.13765675000000002</v>
      </c>
      <c r="E10" s="1" t="s">
        <v>192</v>
      </c>
      <c r="F10" s="1"/>
      <c r="G10" s="1"/>
      <c r="H10" s="1"/>
      <c r="I10" s="1"/>
      <c r="J10" s="1"/>
    </row>
    <row r="11" spans="1:10" ht="42.75">
      <c r="A11" s="1" t="s">
        <v>35</v>
      </c>
      <c r="B11" s="6">
        <v>121.14</v>
      </c>
      <c r="C11" s="6">
        <v>121.14</v>
      </c>
      <c r="D11" s="6">
        <v>290.74</v>
      </c>
      <c r="E11" s="1" t="s">
        <v>193</v>
      </c>
      <c r="F11" s="1"/>
      <c r="G11" s="1"/>
      <c r="H11" s="1"/>
      <c r="I11" s="1"/>
      <c r="J11" s="1"/>
    </row>
    <row r="12" spans="1:10" ht="28.5">
      <c r="A12" s="1" t="s">
        <v>87</v>
      </c>
      <c r="B12" s="6">
        <v>1</v>
      </c>
      <c r="C12" s="6">
        <v>1.2</v>
      </c>
      <c r="D12" s="6">
        <v>1.5</v>
      </c>
      <c r="E12" s="1" t="s">
        <v>194</v>
      </c>
      <c r="F12" s="1"/>
      <c r="G12" s="1"/>
      <c r="H12" s="1"/>
      <c r="I12" s="1"/>
      <c r="J12" s="1"/>
    </row>
    <row r="13" spans="1:10">
      <c r="A13" s="1" t="s">
        <v>88</v>
      </c>
      <c r="B13" s="13">
        <f>B10*B11*B12</f>
        <v>0.95289935400000014</v>
      </c>
      <c r="C13" s="13">
        <f>C10*C11*C12</f>
        <v>6.0985558655999998</v>
      </c>
      <c r="D13" s="13">
        <f>D10*D11*D12</f>
        <v>60.033485242500014</v>
      </c>
      <c r="E13" s="1" t="s">
        <v>195</v>
      </c>
      <c r="F13" s="1"/>
      <c r="G13" s="1"/>
      <c r="H13" s="1"/>
      <c r="I13" s="1"/>
      <c r="J13" s="1"/>
    </row>
    <row r="14" spans="1:10">
      <c r="A14" s="1" t="s">
        <v>89</v>
      </c>
      <c r="B14" s="13">
        <f>B13*12</f>
        <v>11.434792248000001</v>
      </c>
      <c r="C14" s="13">
        <f>C13*12</f>
        <v>73.182670387200005</v>
      </c>
      <c r="D14" s="13">
        <f>D13*12</f>
        <v>720.40182291000019</v>
      </c>
      <c r="E14" s="1" t="s">
        <v>196</v>
      </c>
      <c r="F14" s="1"/>
      <c r="G14" s="1"/>
      <c r="H14" s="1"/>
      <c r="I14" s="1"/>
      <c r="J14" s="1"/>
    </row>
  </sheetData>
  <mergeCells count="1">
    <mergeCell ref="A1:J1"/>
  </mergeCell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6"/>
  <sheetViews>
    <sheetView workbookViewId="0"/>
  </sheetViews>
  <sheetFormatPr defaultRowHeight="14.25"/>
  <cols>
    <col min="1" max="1" width="36.625" customWidth="1"/>
    <col min="2" max="2" width="17.625" customWidth="1"/>
    <col min="3" max="3" width="18.625" customWidth="1"/>
    <col min="4" max="4" width="19.625" customWidth="1"/>
    <col min="5" max="5" width="12.625" customWidth="1"/>
    <col min="6" max="6" width="15.625" customWidth="1"/>
    <col min="7" max="7" width="14.625" customWidth="1"/>
    <col min="8" max="8" width="55.625" customWidth="1"/>
  </cols>
  <sheetData>
    <row r="1" spans="1:8">
      <c r="A1" s="19" t="s">
        <v>90</v>
      </c>
      <c r="B1" s="20"/>
      <c r="C1" s="20"/>
      <c r="D1" s="20"/>
      <c r="E1" s="20"/>
      <c r="F1" s="20"/>
      <c r="G1" s="20"/>
      <c r="H1" s="22"/>
    </row>
    <row r="2" spans="1:8">
      <c r="A2" s="1"/>
      <c r="B2" s="1"/>
      <c r="C2" s="1"/>
      <c r="D2" s="1"/>
      <c r="E2" s="1"/>
      <c r="F2" s="1"/>
      <c r="G2" s="1"/>
      <c r="H2" s="1"/>
    </row>
    <row r="3" spans="1:8" ht="30">
      <c r="A3" s="4" t="s">
        <v>91</v>
      </c>
      <c r="B3" s="4" t="s">
        <v>92</v>
      </c>
      <c r="C3" s="4" t="s">
        <v>85</v>
      </c>
      <c r="D3" s="4" t="s">
        <v>86</v>
      </c>
      <c r="E3" s="4" t="s">
        <v>35</v>
      </c>
      <c r="F3" s="4" t="s">
        <v>88</v>
      </c>
      <c r="G3" s="4" t="s">
        <v>89</v>
      </c>
      <c r="H3" s="4" t="s">
        <v>93</v>
      </c>
    </row>
    <row r="4" spans="1:8">
      <c r="A4" s="1" t="s">
        <v>80</v>
      </c>
      <c r="B4" s="14">
        <f>'06_Воронка'!B6</f>
        <v>13.110166666666666</v>
      </c>
      <c r="C4" s="14">
        <f>'06_Воронка'!B8</f>
        <v>0.26220333333333334</v>
      </c>
      <c r="D4" s="14">
        <f>'06_Воронка'!B10</f>
        <v>7.8661000000000009E-3</v>
      </c>
      <c r="E4" s="15">
        <f>'06_Воронка'!B11</f>
        <v>121.14</v>
      </c>
      <c r="F4" s="15">
        <f>'06_Воронка'!B13</f>
        <v>0.95289935400000014</v>
      </c>
      <c r="G4" s="15">
        <f>'06_Воронка'!B14</f>
        <v>11.434792248000001</v>
      </c>
      <c r="H4" s="1" t="s">
        <v>197</v>
      </c>
    </row>
    <row r="5" spans="1:8">
      <c r="A5" s="1" t="s">
        <v>81</v>
      </c>
      <c r="B5" s="14">
        <f>'06_Воронка'!C6</f>
        <v>26.220333333333333</v>
      </c>
      <c r="C5" s="14">
        <f>'06_Воронка'!C8</f>
        <v>1.0488133333333334</v>
      </c>
      <c r="D5" s="14">
        <f>'06_Воронка'!C10</f>
        <v>4.1952533333333333E-2</v>
      </c>
      <c r="E5" s="15">
        <f>'06_Воронка'!C11</f>
        <v>121.14</v>
      </c>
      <c r="F5" s="15">
        <f>'06_Воронка'!C13</f>
        <v>6.0985558655999998</v>
      </c>
      <c r="G5" s="15">
        <f>'06_Воронка'!C14</f>
        <v>73.182670387200005</v>
      </c>
      <c r="H5" s="1" t="s">
        <v>198</v>
      </c>
    </row>
    <row r="6" spans="1:8">
      <c r="A6" s="1" t="s">
        <v>82</v>
      </c>
      <c r="B6" s="14">
        <f>'06_Воронка'!D6</f>
        <v>39.330500000000001</v>
      </c>
      <c r="C6" s="14">
        <f>'06_Воронка'!D8</f>
        <v>2.7531350000000003</v>
      </c>
      <c r="D6" s="14">
        <f>'06_Воронка'!D10</f>
        <v>0.13765675000000002</v>
      </c>
      <c r="E6" s="15">
        <f>'06_Воронка'!D11</f>
        <v>290.74</v>
      </c>
      <c r="F6" s="15">
        <f>'06_Воронка'!D13</f>
        <v>60.033485242500014</v>
      </c>
      <c r="G6" s="15">
        <f>'06_Воронка'!D14</f>
        <v>720.40182291000019</v>
      </c>
      <c r="H6" s="1" t="s">
        <v>199</v>
      </c>
    </row>
  </sheetData>
  <mergeCells count="1">
    <mergeCell ref="A1:H1"/>
  </mergeCells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10"/>
  <sheetViews>
    <sheetView workbookViewId="0"/>
  </sheetViews>
  <sheetFormatPr defaultRowHeight="14.25"/>
  <cols>
    <col min="1" max="1" width="34" customWidth="1"/>
    <col min="2" max="2" width="13.5" customWidth="1"/>
    <col min="3" max="3" width="48" customWidth="1"/>
  </cols>
  <sheetData>
    <row r="1" spans="1:8">
      <c r="A1" s="19" t="s">
        <v>94</v>
      </c>
      <c r="B1" s="20"/>
      <c r="C1" s="20"/>
      <c r="D1" s="20"/>
      <c r="E1" s="20"/>
      <c r="F1" s="20"/>
      <c r="G1" s="20"/>
      <c r="H1" s="20"/>
    </row>
    <row r="2" spans="1:8">
      <c r="A2" s="1"/>
      <c r="B2" s="1"/>
      <c r="C2" s="1"/>
      <c r="D2" s="1"/>
      <c r="E2" s="1"/>
      <c r="F2" s="1"/>
      <c r="G2" s="1"/>
      <c r="H2" s="1"/>
    </row>
    <row r="3" spans="1:8" ht="15">
      <c r="A3" s="4" t="s">
        <v>79</v>
      </c>
      <c r="B3" s="4" t="s">
        <v>28</v>
      </c>
      <c r="C3" s="4" t="s">
        <v>30</v>
      </c>
      <c r="D3" s="1"/>
      <c r="E3" s="1"/>
      <c r="F3" s="1"/>
      <c r="G3" s="1"/>
      <c r="H3" s="1"/>
    </row>
    <row r="4" spans="1:8">
      <c r="A4" s="3" t="s">
        <v>95</v>
      </c>
      <c r="B4" s="12">
        <f>AVERAGE('05_Нормализация'!F4:F15)</f>
        <v>49.12393630182148</v>
      </c>
      <c r="C4" s="3" t="s">
        <v>200</v>
      </c>
      <c r="D4" s="1"/>
      <c r="E4" s="1"/>
      <c r="F4" s="1"/>
      <c r="G4" s="1"/>
      <c r="H4" s="1"/>
    </row>
    <row r="5" spans="1:8" ht="28.5">
      <c r="A5" s="3" t="s">
        <v>96</v>
      </c>
      <c r="B5" s="12">
        <f>MAX('05_Нормализация'!F4:F15)</f>
        <v>100</v>
      </c>
      <c r="C5" s="3" t="s">
        <v>201</v>
      </c>
      <c r="D5" s="1"/>
      <c r="E5" s="1"/>
      <c r="F5" s="1"/>
      <c r="G5" s="1"/>
      <c r="H5" s="1"/>
    </row>
    <row r="6" spans="1:8">
      <c r="A6" s="3" t="s">
        <v>97</v>
      </c>
      <c r="B6" s="13">
        <f>AVERAGE('04_Wordstat'!H4:H15)</f>
        <v>327.75416666666666</v>
      </c>
      <c r="C6" s="3" t="s">
        <v>98</v>
      </c>
      <c r="D6" s="1"/>
      <c r="E6" s="1"/>
      <c r="F6" s="1"/>
      <c r="G6" s="1"/>
      <c r="H6" s="1"/>
    </row>
    <row r="7" spans="1:8">
      <c r="A7" s="3" t="s">
        <v>99</v>
      </c>
      <c r="B7" s="13">
        <f>'06_Воронка'!C13</f>
        <v>6.0985558655999998</v>
      </c>
      <c r="C7" s="3" t="s">
        <v>202</v>
      </c>
      <c r="D7" s="1"/>
      <c r="E7" s="1"/>
      <c r="F7" s="1"/>
      <c r="G7" s="1"/>
      <c r="H7" s="1"/>
    </row>
    <row r="8" spans="1:8">
      <c r="A8" s="3" t="s">
        <v>100</v>
      </c>
      <c r="B8" s="13">
        <f>'06_Воронка'!C14</f>
        <v>73.182670387200005</v>
      </c>
      <c r="C8" s="3" t="s">
        <v>202</v>
      </c>
      <c r="D8" s="1"/>
      <c r="E8" s="1"/>
      <c r="F8" s="1"/>
      <c r="G8" s="1"/>
      <c r="H8" s="1"/>
    </row>
    <row r="9" spans="1:8">
      <c r="A9" s="3" t="s">
        <v>101</v>
      </c>
      <c r="B9" s="16" t="str">
        <f>TEXT('06_Воронка'!B14,"# ##0")&amp;" – "&amp;TEXT('06_Воронка'!D14,"# ##0")</f>
        <v xml:space="preserve"> 11 –  720</v>
      </c>
      <c r="C9" s="3" t="s">
        <v>203</v>
      </c>
      <c r="D9" s="1"/>
      <c r="E9" s="1"/>
      <c r="F9" s="1"/>
      <c r="G9" s="1"/>
      <c r="H9" s="1"/>
    </row>
    <row r="10" spans="1:8" ht="28.5">
      <c r="A10" s="3" t="s">
        <v>102</v>
      </c>
      <c r="B10" s="16" t="str">
        <f>IF(B4&gt;=75,"высокий",IF(B4&gt;=45,"средний","низкий"))</f>
        <v>средний</v>
      </c>
      <c r="C10" s="3" t="s">
        <v>204</v>
      </c>
      <c r="D10" s="1"/>
      <c r="E10" s="1"/>
      <c r="F10" s="1"/>
      <c r="G10" s="1"/>
      <c r="H10" s="1"/>
    </row>
  </sheetData>
  <mergeCells count="1">
    <mergeCell ref="A1:H1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12"/>
  <sheetViews>
    <sheetView workbookViewId="0"/>
  </sheetViews>
  <sheetFormatPr defaultRowHeight="14.25"/>
  <cols>
    <col min="1" max="1" width="42.625" customWidth="1"/>
    <col min="2" max="2" width="55.625" customWidth="1"/>
    <col min="3" max="3" width="45.625" customWidth="1"/>
    <col min="4" max="4" width="14.625" customWidth="1"/>
    <col min="5" max="5" width="58" customWidth="1"/>
  </cols>
  <sheetData>
    <row r="1" spans="1:5">
      <c r="A1" s="19" t="s">
        <v>103</v>
      </c>
      <c r="B1" s="20"/>
      <c r="C1" s="20"/>
      <c r="D1" s="20"/>
      <c r="E1" s="20"/>
    </row>
    <row r="2" spans="1:5">
      <c r="A2" s="1"/>
      <c r="B2" s="1"/>
      <c r="C2" s="1"/>
      <c r="D2" s="1"/>
      <c r="E2" s="1"/>
    </row>
    <row r="3" spans="1:5" ht="30">
      <c r="A3" s="4" t="s">
        <v>104</v>
      </c>
      <c r="B3" s="4" t="s">
        <v>105</v>
      </c>
      <c r="C3" s="4" t="s">
        <v>106</v>
      </c>
      <c r="D3" s="4" t="s">
        <v>107</v>
      </c>
      <c r="E3" s="4" t="s">
        <v>108</v>
      </c>
    </row>
    <row r="4" spans="1:5" ht="28.5">
      <c r="A4" s="3" t="s">
        <v>109</v>
      </c>
      <c r="B4" s="3" t="s">
        <v>110</v>
      </c>
      <c r="C4" s="3" t="s">
        <v>154</v>
      </c>
      <c r="D4" s="17" t="s">
        <v>161</v>
      </c>
      <c r="E4" s="3" t="s">
        <v>112</v>
      </c>
    </row>
    <row r="5" spans="1:5">
      <c r="A5" s="3" t="s">
        <v>113</v>
      </c>
      <c r="B5" s="3" t="s">
        <v>114</v>
      </c>
      <c r="C5" s="3" t="s">
        <v>115</v>
      </c>
      <c r="D5" s="17" t="s">
        <v>161</v>
      </c>
      <c r="E5" s="3" t="s">
        <v>116</v>
      </c>
    </row>
    <row r="6" spans="1:5">
      <c r="A6" s="3" t="s">
        <v>117</v>
      </c>
      <c r="B6" s="3" t="s">
        <v>118</v>
      </c>
      <c r="C6" s="3" t="s">
        <v>155</v>
      </c>
      <c r="D6" s="17" t="s">
        <v>161</v>
      </c>
      <c r="E6" s="3" t="s">
        <v>119</v>
      </c>
    </row>
    <row r="7" spans="1:5">
      <c r="A7" s="3" t="s">
        <v>120</v>
      </c>
      <c r="B7" s="3" t="s">
        <v>121</v>
      </c>
      <c r="C7" s="3" t="s">
        <v>115</v>
      </c>
      <c r="D7" s="17" t="s">
        <v>161</v>
      </c>
      <c r="E7" s="3" t="s">
        <v>122</v>
      </c>
    </row>
    <row r="8" spans="1:5" ht="42.75">
      <c r="A8" s="3" t="s">
        <v>123</v>
      </c>
      <c r="B8" s="3" t="s">
        <v>124</v>
      </c>
      <c r="C8" s="3" t="s">
        <v>111</v>
      </c>
      <c r="D8" s="17" t="s">
        <v>162</v>
      </c>
      <c r="E8" s="3" t="s">
        <v>205</v>
      </c>
    </row>
    <row r="9" spans="1:5" ht="28.5">
      <c r="A9" s="3" t="s">
        <v>125</v>
      </c>
      <c r="B9" s="3" t="s">
        <v>126</v>
      </c>
      <c r="C9" s="3" t="s">
        <v>111</v>
      </c>
      <c r="D9" s="17" t="s">
        <v>162</v>
      </c>
      <c r="E9" s="3" t="s">
        <v>163</v>
      </c>
    </row>
    <row r="10" spans="1:5">
      <c r="A10" s="1" t="s">
        <v>165</v>
      </c>
      <c r="B10" s="1" t="s">
        <v>166</v>
      </c>
      <c r="C10" s="1" t="s">
        <v>164</v>
      </c>
      <c r="D10" s="18" t="s">
        <v>161</v>
      </c>
      <c r="E10" s="1" t="s">
        <v>156</v>
      </c>
    </row>
    <row r="11" spans="1:5" ht="28.5">
      <c r="A11" s="1" t="s">
        <v>157</v>
      </c>
      <c r="B11" s="1" t="s">
        <v>167</v>
      </c>
      <c r="C11" s="1" t="s">
        <v>164</v>
      </c>
      <c r="D11" s="18" t="s">
        <v>161</v>
      </c>
      <c r="E11" s="1" t="s">
        <v>158</v>
      </c>
    </row>
    <row r="12" spans="1:5" ht="28.5">
      <c r="A12" s="1" t="s">
        <v>159</v>
      </c>
      <c r="B12" s="1" t="s">
        <v>168</v>
      </c>
      <c r="C12" s="1" t="s">
        <v>164</v>
      </c>
      <c r="D12" s="18" t="s">
        <v>161</v>
      </c>
      <c r="E12" s="1" t="s">
        <v>160</v>
      </c>
    </row>
  </sheetData>
  <mergeCells count="1">
    <mergeCell ref="A1:E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10</vt:i4>
      </vt:variant>
    </vt:vector>
  </HeadingPairs>
  <TitlesOfParts>
    <vt:vector size="10" baseType="lpstr">
      <vt:lpstr>00_Методика</vt:lpstr>
      <vt:lpstr>01_Параметры</vt:lpstr>
      <vt:lpstr>02_Семантика</vt:lpstr>
      <vt:lpstr>03_Google_Trends</vt:lpstr>
      <vt:lpstr>04_Wordstat</vt:lpstr>
      <vt:lpstr>05_Нормализация</vt:lpstr>
      <vt:lpstr>06_Воронка</vt:lpstr>
      <vt:lpstr>07_Сценарии</vt:lpstr>
      <vt:lpstr>08_Дашборд</vt:lpstr>
      <vt:lpstr>09_Источники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К. А. Хаджинова</dc:creator>
  <cp:lastModifiedBy>Aliaksandr Khajynau</cp:lastModifiedBy>
  <dcterms:created xsi:type="dcterms:W3CDTF">2026-10-04T16:53:22Z</dcterms:created>
  <dcterms:modified xsi:type="dcterms:W3CDTF">2026-10-04T19:30:02Z</dcterms:modified>
</cp:coreProperties>
</file>