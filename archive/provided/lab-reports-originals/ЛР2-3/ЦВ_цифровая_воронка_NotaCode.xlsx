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512DDD8F-9631-45F7-8E47-F67317EF9D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Трафик_охват" sheetId="3" r:id="rId3"/>
    <sheet name="03_Конкуренты_SW" sheetId="4" r:id="rId4"/>
    <sheet name="04_Воронка" sheetId="5" r:id="rId5"/>
    <sheet name="05_Сценарии" sheetId="6" r:id="rId6"/>
    <sheet name="06_Повторы_LTV" sheetId="7" r:id="rId7"/>
    <sheet name="07_Платформа_GMV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D6" i="8" l="1"/>
  <c r="D8" i="8" s="1"/>
  <c r="D9" i="8" s="1"/>
  <c r="C6" i="8"/>
  <c r="B6" i="8"/>
  <c r="B8" i="8" s="1"/>
  <c r="B9" i="8" s="1"/>
  <c r="D6" i="7"/>
  <c r="D5" i="7"/>
  <c r="D4" i="7"/>
  <c r="D9" i="5"/>
  <c r="C9" i="5"/>
  <c r="B9" i="5"/>
  <c r="D7" i="5"/>
  <c r="C7" i="5"/>
  <c r="B7" i="5"/>
  <c r="D5" i="5"/>
  <c r="C5" i="5"/>
  <c r="B5" i="5"/>
  <c r="F8" i="4"/>
  <c r="I8" i="4" s="1"/>
  <c r="F7" i="4"/>
  <c r="I7" i="4" s="1"/>
  <c r="F6" i="4"/>
  <c r="I6" i="4" s="1"/>
  <c r="F5" i="4"/>
  <c r="I5" i="4" s="1"/>
  <c r="F4" i="4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E19" i="2"/>
  <c r="D11" i="5" s="1"/>
  <c r="C6" i="7" s="1"/>
  <c r="E18" i="2"/>
  <c r="C11" i="5" s="1"/>
  <c r="C5" i="7" s="1"/>
  <c r="E17" i="2"/>
  <c r="B11" i="5" s="1"/>
  <c r="C4" i="7" s="1"/>
  <c r="F4" i="7" l="1"/>
  <c r="F5" i="7"/>
  <c r="B11" i="9"/>
  <c r="C8" i="8"/>
  <c r="C9" i="8" s="1"/>
  <c r="B12" i="9" s="1"/>
  <c r="F6" i="7"/>
  <c r="C11" i="4"/>
  <c r="I4" i="4"/>
  <c r="C13" i="4" s="1"/>
  <c r="C14" i="4" s="1"/>
  <c r="C13" i="3"/>
  <c r="G4" i="3"/>
  <c r="C14" i="3" s="1"/>
  <c r="C12" i="4" l="1"/>
  <c r="B6" i="9" s="1"/>
  <c r="C15" i="3"/>
  <c r="B5" i="9" s="1"/>
  <c r="B4" i="5"/>
  <c r="B6" i="5" s="1"/>
  <c r="C4" i="5"/>
  <c r="C6" i="5" s="1"/>
  <c r="D4" i="5"/>
  <c r="D6" i="5" s="1"/>
  <c r="B4" i="9"/>
  <c r="B8" i="5" l="1"/>
  <c r="B4" i="6"/>
  <c r="C8" i="5"/>
  <c r="B5" i="6"/>
  <c r="D8" i="5"/>
  <c r="B6" i="6"/>
  <c r="B10" i="5" l="1"/>
  <c r="C4" i="6"/>
  <c r="C10" i="5"/>
  <c r="C5" i="6"/>
  <c r="D10" i="5"/>
  <c r="C6" i="6"/>
  <c r="B12" i="5" l="1"/>
  <c r="D4" i="6"/>
  <c r="B4" i="7"/>
  <c r="E4" i="7" s="1"/>
  <c r="B10" i="7" s="1"/>
  <c r="C12" i="5"/>
  <c r="D5" i="6"/>
  <c r="B5" i="7"/>
  <c r="E5" i="7" s="1"/>
  <c r="C10" i="7" s="1"/>
  <c r="B10" i="9" s="1"/>
  <c r="D12" i="5"/>
  <c r="D6" i="6"/>
  <c r="B6" i="7"/>
  <c r="E6" i="7" s="1"/>
  <c r="D10" i="7" s="1"/>
  <c r="B13" i="5" l="1"/>
  <c r="E4" i="6"/>
  <c r="C13" i="5"/>
  <c r="E5" i="6"/>
  <c r="D13" i="5"/>
  <c r="E6" i="6"/>
  <c r="F4" i="6" l="1"/>
  <c r="B9" i="7"/>
  <c r="F5" i="6"/>
  <c r="C10" i="6" s="1"/>
  <c r="B8" i="9" s="1"/>
  <c r="C9" i="7"/>
  <c r="F6" i="6"/>
  <c r="D9" i="7"/>
  <c r="C11" i="6" l="1"/>
  <c r="C9" i="6"/>
  <c r="B7" i="9" s="1"/>
  <c r="B9" i="9" l="1"/>
  <c r="C12" i="6"/>
</calcChain>
</file>

<file path=xl/sharedStrings.xml><?xml version="1.0" encoding="utf-8"?>
<sst xmlns="http://schemas.openxmlformats.org/spreadsheetml/2006/main" count="434" uniqueCount="317">
  <si>
    <t>Excel-шаблон оценки рынка через цифровую воронку</t>
  </si>
  <si>
    <t>Назначение файла</t>
  </si>
  <si>
    <t>Как использовать</t>
  </si>
  <si>
    <t>Основная формула</t>
  </si>
  <si>
    <t>Что является входом</t>
  </si>
  <si>
    <t>Что является расчетом</t>
  </si>
  <si>
    <t>Что проверять</t>
  </si>
  <si>
    <t>Ограничения</t>
  </si>
  <si>
    <t>Итог</t>
  </si>
  <si>
    <t>Этап</t>
  </si>
  <si>
    <t>Действие</t>
  </si>
  <si>
    <t>Где заполнять</t>
  </si>
  <si>
    <t>Результат</t>
  </si>
  <si>
    <t>01_Параметры</t>
  </si>
  <si>
    <t>02_Трафик_охват</t>
  </si>
  <si>
    <t>03_Конкуренты_SW</t>
  </si>
  <si>
    <t>04_Воронка</t>
  </si>
  <si>
    <t>05_Сценарии</t>
  </si>
  <si>
    <t>06_Повторы_LTV</t>
  </si>
  <si>
    <t>07_Платформа_GMV</t>
  </si>
  <si>
    <t>08_Дашборд</t>
  </si>
  <si>
    <t>Цвет ячеек</t>
  </si>
  <si>
    <t>Значение</t>
  </si>
  <si>
    <t>Можно изменять?</t>
  </si>
  <si>
    <t>Комментарий</t>
  </si>
  <si>
    <t>Желтый</t>
  </si>
  <si>
    <t>Исходные данные / допущения</t>
  </si>
  <si>
    <t>Да</t>
  </si>
  <si>
    <t>Зеленый</t>
  </si>
  <si>
    <t>Расчетные ячейки</t>
  </si>
  <si>
    <t>Нет</t>
  </si>
  <si>
    <t>Серый</t>
  </si>
  <si>
    <t>Пояснения и методические комментарии</t>
  </si>
  <si>
    <t>01. Исходные параметры оценки рынка</t>
  </si>
  <si>
    <t>Параметр</t>
  </si>
  <si>
    <t>Единица</t>
  </si>
  <si>
    <t>Источник/обоснование</t>
  </si>
  <si>
    <t>Статус</t>
  </si>
  <si>
    <t>Название бизнес-идеи</t>
  </si>
  <si>
    <t>текст</t>
  </si>
  <si>
    <t>Пользователь</t>
  </si>
  <si>
    <t>ввод</t>
  </si>
  <si>
    <t>Географические границы</t>
  </si>
  <si>
    <t>Республика Беларусь</t>
  </si>
  <si>
    <t>территория</t>
  </si>
  <si>
    <t>Ранее зафиксированные границы рынка</t>
  </si>
  <si>
    <t>Период расчета</t>
  </si>
  <si>
    <t>месяц / год</t>
  </si>
  <si>
    <t>период</t>
  </si>
  <si>
    <t>Методика</t>
  </si>
  <si>
    <t>Валюта расчета</t>
  </si>
  <si>
    <t>BYN</t>
  </si>
  <si>
    <t>валюта</t>
  </si>
  <si>
    <t>Целевой клиент</t>
  </si>
  <si>
    <t>сегмент</t>
  </si>
  <si>
    <t>Границы рынка</t>
  </si>
  <si>
    <t>Средний чек базовый</t>
  </si>
  <si>
    <t>Средний чек осторожный</t>
  </si>
  <si>
    <t>Средний чек оптимистичный</t>
  </si>
  <si>
    <t>Целевая доля релевантного трафика</t>
  </si>
  <si>
    <t>доля</t>
  </si>
  <si>
    <t>Коэффициент покрытия конкурентов</t>
  </si>
  <si>
    <t>Дата обновления файла</t>
  </si>
  <si>
    <t>дата</t>
  </si>
  <si>
    <t>Сценарий</t>
  </si>
  <si>
    <t>Доля достижимого трафика</t>
  </si>
  <si>
    <t>Конверсия посещение → заявка</t>
  </si>
  <si>
    <t>Конверсия заявка → продажа</t>
  </si>
  <si>
    <t>Средний чек</t>
  </si>
  <si>
    <t>Повторных покупок в год</t>
  </si>
  <si>
    <t>Осторожный</t>
  </si>
  <si>
    <t>Базовый</t>
  </si>
  <si>
    <t>Оптимистичный</t>
  </si>
  <si>
    <t>02. Охват и трафик по цифровым каналам</t>
  </si>
  <si>
    <t>Канал</t>
  </si>
  <si>
    <t>Источник данных</t>
  </si>
  <si>
    <t>Охват/показы/посещения в месяц</t>
  </si>
  <si>
    <t>CTR или доля переходов</t>
  </si>
  <si>
    <t>Посещения в месяц</t>
  </si>
  <si>
    <t>Доля релевантной аудитории</t>
  </si>
  <si>
    <t>Релевантные посещения</t>
  </si>
  <si>
    <t>Качество данных</t>
  </si>
  <si>
    <t>Органический поиск</t>
  </si>
  <si>
    <t>среднее</t>
  </si>
  <si>
    <t>Платный поиск</t>
  </si>
  <si>
    <t>Google Ads / Яндекс Директ</t>
  </si>
  <si>
    <t>Социальные сети</t>
  </si>
  <si>
    <t>Meta Ads / VK / TikTok / статистика страниц</t>
  </si>
  <si>
    <t>Реферальные площадки</t>
  </si>
  <si>
    <t>Каталоги / партнеры / платформы</t>
  </si>
  <si>
    <t>Прямой трафик</t>
  </si>
  <si>
    <t>Similarweb / Google Analytics</t>
  </si>
  <si>
    <t>Маркетплейсы услуг</t>
  </si>
  <si>
    <t>Платформы / каталоги исполнителей</t>
  </si>
  <si>
    <t>Прочие каналы</t>
  </si>
  <si>
    <t>Экспертная оценка</t>
  </si>
  <si>
    <t>Формула</t>
  </si>
  <si>
    <t>Используется далее</t>
  </si>
  <si>
    <t>Общие посещения в месяц</t>
  </si>
  <si>
    <t>SUM(E4:E10)</t>
  </si>
  <si>
    <t>посещений</t>
  </si>
  <si>
    <t>да</t>
  </si>
  <si>
    <t>Релевантные посещения в месяц</t>
  </si>
  <si>
    <t>SUM(G4:G10)</t>
  </si>
  <si>
    <t>Релевантные посещения в год</t>
  </si>
  <si>
    <t>C14*12</t>
  </si>
  <si>
    <t>03. Данные Similarweb и конкурентов</t>
  </si>
  <si>
    <t>Конкурент / сайт</t>
  </si>
  <si>
    <t>Тип игрока</t>
  </si>
  <si>
    <t>Посещения в месяц по Similarweb</t>
  </si>
  <si>
    <t>Доля целевой географии</t>
  </si>
  <si>
    <t>Доля релевантной категории</t>
  </si>
  <si>
    <t>Оценочная конверсия в продажу</t>
  </si>
  <si>
    <t>Оценочная выручка в месяц</t>
  </si>
  <si>
    <t>Показатель</t>
  </si>
  <si>
    <t>Суммарные релевантные посещения конкурентов</t>
  </si>
  <si>
    <t>SUM(F4:F8)</t>
  </si>
  <si>
    <t>Оценка полного трафика сегмента</t>
  </si>
  <si>
    <t>B11 / коэффициент покрытия</t>
  </si>
  <si>
    <t>Оценочная выручка видимых конкурентов в месяц</t>
  </si>
  <si>
    <t>SUM(I4:I8)</t>
  </si>
  <si>
    <t>Оценочная выручка сегмента в год</t>
  </si>
  <si>
    <t>C13 / коэффициент покрытия * 12</t>
  </si>
  <si>
    <t>04. Расчет цифровой воронки по сценариям</t>
  </si>
  <si>
    <t>Достижимая доля трафика</t>
  </si>
  <si>
    <t>Достижимые посещения в месяц</t>
  </si>
  <si>
    <t>Заявки в месяц</t>
  </si>
  <si>
    <t>Продажи в месяц</t>
  </si>
  <si>
    <t>Выручка в месяц</t>
  </si>
  <si>
    <t>Выручка в год</t>
  </si>
  <si>
    <t>05. Сценарная оценка объема рынка</t>
  </si>
  <si>
    <t>Выручка/год</t>
  </si>
  <si>
    <t>Интерпретация</t>
  </si>
  <si>
    <t>Минимальная годовая выручка</t>
  </si>
  <si>
    <t>MIN(F4:F6)</t>
  </si>
  <si>
    <t>Базовая годовая выручка</t>
  </si>
  <si>
    <t>F5</t>
  </si>
  <si>
    <t>Максимальная годовая выручка</t>
  </si>
  <si>
    <t>MAX(F4:F6)</t>
  </si>
  <si>
    <t>Размах оценки</t>
  </si>
  <si>
    <t>C11-C9</t>
  </si>
  <si>
    <t>06. Повторные покупки и жизненная ценность клиента</t>
  </si>
  <si>
    <t>Годовая выручка с учетом повторов</t>
  </si>
  <si>
    <t>Средняя ценность клиента за год</t>
  </si>
  <si>
    <t>Годовая выручка без учета повторов</t>
  </si>
  <si>
    <t>07. Платформенная модель: GMV и выручка платформы</t>
  </si>
  <si>
    <t>Тип</t>
  </si>
  <si>
    <t>Количество сделок в месяц</t>
  </si>
  <si>
    <t>сделок</t>
  </si>
  <si>
    <t>Сценарная оценка</t>
  </si>
  <si>
    <t>Средняя сумма сделки</t>
  </si>
  <si>
    <t>Цены конкурентов / экспертно</t>
  </si>
  <si>
    <t>GMV в месяц</t>
  </si>
  <si>
    <t>расчет</t>
  </si>
  <si>
    <t>Комиссия платформы</t>
  </si>
  <si>
    <t>Бизнес-модель</t>
  </si>
  <si>
    <t>Выручка платформы в месяц</t>
  </si>
  <si>
    <t>Выручка платформы в год</t>
  </si>
  <si>
    <t>08. Итоговая панель оценки рынка через цифровую воронку</t>
  </si>
  <si>
    <t>Ключевой показатель</t>
  </si>
  <si>
    <t>Оценка полного трафика сегмента по Similarweb</t>
  </si>
  <si>
    <t>BYN/год</t>
  </si>
  <si>
    <t>Итоговый вывод для отчета</t>
  </si>
  <si>
    <t>09. Источники данных и журнал фиксации</t>
  </si>
  <si>
    <t>Источник</t>
  </si>
  <si>
    <t>Что брать</t>
  </si>
  <si>
    <t>Ссылка / место хранения</t>
  </si>
  <si>
    <t>Дата обращения</t>
  </si>
  <si>
    <t>Качество</t>
  </si>
  <si>
    <t>Google Analytics</t>
  </si>
  <si>
    <t>трафик, источники, конверсии, события</t>
  </si>
  <si>
    <t>высокое</t>
  </si>
  <si>
    <t>Google Ads</t>
  </si>
  <si>
    <t>показы, клики, стоимость, конверсии</t>
  </si>
  <si>
    <t>Яндекс Вордстат</t>
  </si>
  <si>
    <t>частотность запросов, регионы, динамика</t>
  </si>
  <si>
    <t>https://yandex.ru/support2/wordstat/ru/</t>
  </si>
  <si>
    <t>Google Trends</t>
  </si>
  <si>
    <t>относительная динамика интереса</t>
  </si>
  <si>
    <t>https://support.google.com/trends/answer/4365533</t>
  </si>
  <si>
    <t>Similarweb</t>
  </si>
  <si>
    <t>посещаемость конкурентов, каналы, география</t>
  </si>
  <si>
    <t>Рекламные кабинеты социальных сетей</t>
  </si>
  <si>
    <t>оценка охвата, клики, заявки</t>
  </si>
  <si>
    <t>Сайты конкурентов</t>
  </si>
  <si>
    <t>цены, услуги, офферы, формы заявки</t>
  </si>
  <si>
    <t>пользователи-физические лица: студенты (S-01), аналитики (S-02), архитекторы и разработчики (S-03), преподаватели (S-04)</t>
  </si>
  <si>
    <t>BYN/оплата (год)</t>
  </si>
  <si>
    <t>Допущение Д-05: коэффициент покрытия выборки; значение базового сценария М2 табл. 21 (0,65); шкала М2 табл. 9 для типовой ситуации 0,60–0,75</t>
  </si>
  <si>
    <t>нет данных</t>
  </si>
  <si>
    <t>Нет данных: бренд NotaCode не запущен, прямых заходов нет</t>
  </si>
  <si>
    <t>Не применяется: NotaCode не размещается на маркетплейсах услуг</t>
  </si>
  <si>
    <t>Нет данных</t>
  </si>
  <si>
    <t>plantuml.com</t>
  </si>
  <si>
    <t>прямой (текстовый DSL)</t>
  </si>
  <si>
    <t>app.diagrams.net</t>
  </si>
  <si>
    <t>заменитель (визуальный редактор)</t>
  </si>
  <si>
    <t>eraser.io</t>
  </si>
  <si>
    <t>прямой (AI + diagram as code)</t>
  </si>
  <si>
    <t>mermaidchart.com</t>
  </si>
  <si>
    <t>Страницы тарифов конкурентов (30.09.2026); курс НБРБ https://api.nbrb.by/exrates/rates/431</t>
  </si>
  <si>
    <t>NotaCode – веб-IDE для построения и проверки диаграмм формальных нотаций (UML, BPMN, ERD, IDEF, DFD) как текста</t>
  </si>
  <si>
    <t>Pro: годовой тариф 40 у.е. × 3,0285 (курс НБРБ 30.09.2026)</t>
  </si>
  <si>
    <t>Альтернативный вариант: 4 у.е. × 12 = 48 у.е. × 3,0285 = 145,37 BYN</t>
  </si>
  <si>
    <t>Медиана входных платных тарифов конкурентов (8 у.е./мес.) × 12 × 3,0285</t>
  </si>
  <si>
    <t>Годовая выручка – осторожный сценарий</t>
  </si>
  <si>
    <t>Годовая выручка – базовый сценарий</t>
  </si>
  <si>
    <t>Годовая выручка – оптимистичный сценарий</t>
  </si>
  <si>
    <t>Годовая выручка с учетом повторов – базовый сценарий</t>
  </si>
  <si>
    <t>GMV платформы – базовый сценарий</t>
  </si>
  <si>
    <t>Комиссионная выручка платформы – базовый сценарий</t>
  </si>
  <si>
    <t>29.09.2026</t>
  </si>
  <si>
    <t>Оценить потенциальный объем рынка электронного бизнеса через охват, трафик, заявки, продажи, средний чек, повторные покупки и платформенную модель</t>
  </si>
  <si>
    <t>Заполнить желтые ячейки на листах 01–03, затем проверить расчеты на листах 04–08</t>
  </si>
  <si>
    <t>Выручка = релевантные посещения × конверсия в заявку × конверсия в продажу × средний чек × повторные покупки</t>
  </si>
  <si>
    <t>Данные Google Trends, Яндекс Вордстат, Similarweb, рекламных кабинетов, аналитики сайта и экспертных допущений</t>
  </si>
  <si>
    <t>Зеленые ячейки содержат формулы и автоматически пересчитывают заявки, продажи, выручку, GMV и рыночный диапазон</t>
  </si>
  <si>
    <t>Согласованность допущений, реалистичность конверсий, различие между интересом аудитории и платежеспособным спросом</t>
  </si>
  <si>
    <t>Все расчеты являются оценочными; цифровая воронка не заменяет анализ конкурентов, цен, платежеспособности и фактических продаж</t>
  </si>
  <si>
    <t>Сценарный диапазон объема рынка и достижимой выручки</t>
  </si>
  <si>
    <t>Зафиксировать географию, продуктовую категорию и период расчета</t>
  </si>
  <si>
    <t>Единая база исследования</t>
  </si>
  <si>
    <t>Собрать исходные данные об охвате и трафике по каналам</t>
  </si>
  <si>
    <t>Релевантные посещения рынка</t>
  </si>
  <si>
    <t>Зафиксировать данные конкурентов из Similarweb и других открытых источников</t>
  </si>
  <si>
    <t>Оценка видимого цифрового объема сегмента</t>
  </si>
  <si>
    <t>Задать конверсии в заявку и продажу по трем сценариям</t>
  </si>
  <si>
    <t>Расчет заявок, продаж и выручки</t>
  </si>
  <si>
    <t>Сравнить осторожный, базовый и оптимистичный сценарии</t>
  </si>
  <si>
    <t>Диапазон возможного объема рынка</t>
  </si>
  <si>
    <t>Учесть повторные покупки и жизненную ценность клиента</t>
  </si>
  <si>
    <t>Годовая и расширенная оценка выручки</t>
  </si>
  <si>
    <t>Если бизнес является платформой, рассчитать GMV и комиссионную выручку</t>
  </si>
  <si>
    <t>Разделение оборота платформы и собственной выручки</t>
  </si>
  <si>
    <t>Проверить итоговую панель и сформулировать вывод</t>
  </si>
  <si>
    <t>Готовые показатели для отчета</t>
  </si>
  <si>
    <t>Заполняются пользователем</t>
  </si>
  <si>
    <t>Содержат формулы</t>
  </si>
  <si>
    <t>Можно адаптировать под отчет</t>
  </si>
  <si>
    <t>Можно заменить на любую бизнес-идею</t>
  </si>
  <si>
    <t>При необходимости указать город или регион</t>
  </si>
  <si>
    <t>Для рынка услуг удобно считать месяц и год</t>
  </si>
  <si>
    <t>Можно заменить на RUB, у.е., EUR</t>
  </si>
  <si>
    <t>Кто потенциально покупает услугу</t>
  </si>
  <si>
    <t>Используется в базовом сценарии</t>
  </si>
  <si>
    <t>Нижняя граница чека</t>
  </si>
  <si>
    <t>Верхняя граница чека</t>
  </si>
  <si>
    <t>Какая часть собранного трафика относится к анализируемому рынку</t>
  </si>
  <si>
    <t>Доля рынка, представленная найденными сайтами конкурентов</t>
  </si>
  <si>
    <t>Обновлять при новой выгрузке данных</t>
  </si>
  <si>
    <t>Релевантность учтена весами ядра (ПС), поэтому доля релевантной аудитории = 1; CTR – базовое значение ПС табл. 17</t>
  </si>
  <si>
    <t>Оценка всех переходов по каналам</t>
  </si>
  <si>
    <t>Трафик, относящийся к рынку</t>
  </si>
  <si>
    <t>Годовая база для сценариев</t>
  </si>
  <si>
    <t>не собрано: прогноз показов/кликов Яндекс Директ или Google Ads Keyword Planner по ядру запросов (нужен рекламный кабинет)</t>
  </si>
  <si>
    <t>не собрано: оценка охвата аудитории в рекламных кабинетах VK / Meta (нужен рекламный кабинет)</t>
  </si>
  <si>
    <t>Визиты: ФАКТ (Similarweb, авг. 2026, скриншот). Доля Беларуси – допущение Д-01 (Similarweb не показывает). Конверсия = CR1 × CR2 базового сценария; чек = цена Pro</t>
  </si>
  <si>
    <t>Видимый объем цифрового сегмента по найденным сайтам</t>
  </si>
  <si>
    <t>Исправлено в рабочей копии (П-2): деление на коэффициент покрытия B13, в шаблоне – на долю релевантного трафика B12</t>
  </si>
  <si>
    <t>Ориентировочная оценка по конверсии и среднему чеку</t>
  </si>
  <si>
    <t>Исправлено (П-2): C13 / B13 × 12</t>
  </si>
  <si>
    <t>Берется с листа 02_Трафик_охват</t>
  </si>
  <si>
    <t>Сценарное допущение</t>
  </si>
  <si>
    <t>Релевантные посещения × достижимая доля</t>
  </si>
  <si>
    <t>Достижимые посещения × конверсия в заявку</t>
  </si>
  <si>
    <t>Заявки × конверсия в продажу</t>
  </si>
  <si>
    <t>Сценарный средний чек</t>
  </si>
  <si>
    <t>Продажи × средний чек</t>
  </si>
  <si>
    <t>Месячная выручка × 12</t>
  </si>
  <si>
    <t>Достижимые посещения/мес</t>
  </si>
  <si>
    <t>Заявки/мес</t>
  </si>
  <si>
    <t>Продажи/мес</t>
  </si>
  <si>
    <t>Выручка/мес</t>
  </si>
  <si>
    <t>Нижняя граница при слабом охвате и низких конверсиях</t>
  </si>
  <si>
    <t>Наиболее реалистичный сценарий при умеренной эффективности</t>
  </si>
  <si>
    <t>Верхняя граница при высокой эффективности каналов</t>
  </si>
  <si>
    <t>Нижняя граница расчетного диапазона</t>
  </si>
  <si>
    <t>Основной ориентир для отчета</t>
  </si>
  <si>
    <t>Верхняя граница расчетного диапазона</t>
  </si>
  <si>
    <t>Показывает неопределенность оценки</t>
  </si>
  <si>
    <t>Разовые или редкие повторные покупки</t>
  </si>
  <si>
    <t>Умеренная повторяемость заказов</t>
  </si>
  <si>
    <t>Регулярное сопровождение или подписочная модель</t>
  </si>
  <si>
    <t>Не применяется: NotaCode – не многосторонняя платформа (подписка одного вида клиента); решение В-3</t>
  </si>
  <si>
    <t>Не применяется</t>
  </si>
  <si>
    <t>Общий объем сделок на платформе</t>
  </si>
  <si>
    <t>Доход платформы от комиссии</t>
  </si>
  <si>
    <t>Годовая комиссионная выручка</t>
  </si>
  <si>
    <t>База для расчета воронки</t>
  </si>
  <si>
    <t>Годовая база трафика</t>
  </si>
  <si>
    <t>посещений/мес</t>
  </si>
  <si>
    <t>Оценка через конкурентов и коэффициент покрытия</t>
  </si>
  <si>
    <t>Нижняя граница</t>
  </si>
  <si>
    <t>Основной ориентир</t>
  </si>
  <si>
    <t>Верхняя граница</t>
  </si>
  <si>
    <t>Учитывает повторные покупки</t>
  </si>
  <si>
    <t>Использовать только для платформенной модели</t>
  </si>
  <si>
    <t>Собственная выручка платформы, если применимо</t>
  </si>
  <si>
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–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</t>
  </si>
  <si>
    <t>Использовать для собственного сайта</t>
  </si>
  <si>
    <t>Использовать для рекламной воронки</t>
  </si>
  <si>
    <t>Отражает аудиторию Яндекса</t>
  </si>
  <si>
    <t>Индекс 0–100, не абсолютное число запросов</t>
  </si>
  <si>
    <t>Оценочные данные, особенно осторожно для малых сайтов</t>
  </si>
  <si>
    <t>Фиксировать настройки аудитории</t>
  </si>
  <si>
    <t>Использовать для среднего чека и структуры предложения</t>
  </si>
  <si>
    <t>не собрано: рекламный кабинет (нужен доступ)</t>
  </si>
  <si>
    <t>не собрано: рекламные кабинеты VK / Meta</t>
  </si>
  <si>
    <t>собственного сайта нет (MVP не запущен)</t>
  </si>
  <si>
    <t>Допущение Д-02: средневзвешенная по визитам доля релевантного трафика четырех доменов выборки (расчет в 03_Конкуренты_SW); в формулах шаблона не должна использоваться как покрытие (П-2)</t>
  </si>
  <si>
    <t>Яндекс Вордстат (Беларусь), взвешенная частотность ядра, среднее за 12 мес. (см. расчет ПС)</t>
  </si>
  <si>
    <t>Нет данных: продукт не размещен в каталогах и у партнеров (MVP не запущен)</t>
  </si>
  <si>
    <t>Визиты: отчет ЛР1, без скриншота. Доля Беларуси – допущение Д-01 (Similarweb не показывает). Конверсия = CR1 × CR2 базового сценария; чек = цена Pro</t>
  </si>
  <si>
    <t>Визиты: предварительный замер 17–23.09.2026, не подтвержден. Доля Беларуси – допущение Д-01 (Similarweb не показывает). Конверсия = CR1 × CR2 базового сценария; чек = цена Pro</t>
  </si>
  <si>
    <t>Визиты: предварительный замер: «менее 20 тыс.» (верхняя граница), не подтвержден. Доля Беларуси – допущение Д-01 (Similarweb не показывает). Конверсия = CR1 × CR2 базового сценария; чек = цена Pro</t>
  </si>
  <si>
    <t>Строка не заполнена: выборка – 4 домена; не собрано минимум еще 6–16 доменов (Similarweb, вручную)</t>
  </si>
  <si>
    <t>https://www.similarweb.com/website/plantuml.com/ (замер 30.09.2026); остальные домены – отчет ЛР1 и предварительный замер 17–23.09.2026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</si>
</sst>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3" fontId="0" fillId="5" borderId="0" xfId="1" applyNumberFormat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center" vertical="top" wrapText="1"/>
    </xf>
    <xf numFmtId="9" fontId="0" fillId="6" borderId="0" xfId="1" applyNumberFormat="1" applyFont="1" applyFill="1" applyAlignment="1">
      <alignment vertical="top" wrapText="1"/>
    </xf>
    <xf numFmtId="10" fontId="0" fillId="6" borderId="0" xfId="1" applyNumberFormat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5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52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'08_Дашборд'!$B$4:$B$6</c:f>
              <c:numCache>
                <c:formatCode>#,##0</c:formatCode>
                <c:ptCount val="3"/>
                <c:pt idx="0">
                  <c:v>26.22</c:v>
                </c:pt>
                <c:pt idx="1">
                  <c:v>314.64</c:v>
                </c:pt>
                <c:pt idx="2">
                  <c:v>10433.127692307693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2-43CA-AC20-6420D3634395}"/>
            </c:ext>
          </c:extLst>
        </c:ser>
        <c:ser>
          <c:idx val="1"/>
          <c:order val="1"/>
          <c:tx>
            <c:v>Единица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3CA-AC20-6420D3634395}"/>
            </c:ext>
          </c:extLst>
        </c:ser>
        <c:ser>
          <c:idx val="2"/>
          <c:order val="2"/>
          <c:tx>
            <c:v>Комментарий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3CA-AC20-6420D3634395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352-43CA-AC20-6420D3634395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'08_Дашборд'!$F$4:$F$6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352-43CA-AC20-6420D363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fficSourcesTable" displayName="TrafficSourcesTable" ref="A3:I10" headerRowDxfId="51" dataDxfId="50" totalsRowDxfId="49">
  <tableColumns count="9">
    <tableColumn id="1" xr3:uid="{00000000-0010-0000-0000-000001000000}" name="Канал" dataDxfId="48"/>
    <tableColumn id="2" xr3:uid="{00000000-0010-0000-0000-000002000000}" name="Источник данных" dataDxfId="47"/>
    <tableColumn id="3" xr3:uid="{00000000-0010-0000-0000-000003000000}" name="Охват/показы/посещения в месяц" dataDxfId="46"/>
    <tableColumn id="4" xr3:uid="{00000000-0010-0000-0000-000004000000}" name="CTR или доля переходов" dataDxfId="45"/>
    <tableColumn id="5" xr3:uid="{00000000-0010-0000-0000-000005000000}" name="Посещения в месяц" dataDxfId="44"/>
    <tableColumn id="6" xr3:uid="{00000000-0010-0000-0000-000006000000}" name="Доля релевантной аудитории" dataDxfId="43"/>
    <tableColumn id="7" xr3:uid="{00000000-0010-0000-0000-000007000000}" name="Релевантные посещения" dataDxfId="42"/>
    <tableColumn id="8" xr3:uid="{00000000-0010-0000-0000-000008000000}" name="Качество данных" dataDxfId="41"/>
    <tableColumn id="9" xr3:uid="{00000000-0010-0000-0000-000009000000}" name="Комментарий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SWTable" displayName="CompetitorsSWTable" ref="A3:J8" headerRowDxfId="39" dataDxfId="38" totalsRowDxfId="37">
  <tableColumns count="10">
    <tableColumn id="1" xr3:uid="{00000000-0010-0000-0100-000001000000}" name="Конкурент / сайт" dataDxfId="36"/>
    <tableColumn id="2" xr3:uid="{00000000-0010-0000-0100-000002000000}" name="Тип игрока" dataDxfId="35"/>
    <tableColumn id="3" xr3:uid="{00000000-0010-0000-0100-000003000000}" name="Посещения в месяц по Similarweb" dataDxfId="34"/>
    <tableColumn id="4" xr3:uid="{00000000-0010-0000-0100-000004000000}" name="Доля целевой географии" dataDxfId="33"/>
    <tableColumn id="5" xr3:uid="{00000000-0010-0000-0100-000005000000}" name="Доля релевантной категории" dataDxfId="32"/>
    <tableColumn id="6" xr3:uid="{00000000-0010-0000-0100-000006000000}" name="Релевантные посещения" dataDxfId="31"/>
    <tableColumn id="7" xr3:uid="{00000000-0010-0000-0100-000007000000}" name="Оценочная конверсия в продажу" dataDxfId="30"/>
    <tableColumn id="8" xr3:uid="{00000000-0010-0000-0100-000008000000}" name="Средний чек" dataDxfId="29"/>
    <tableColumn id="9" xr3:uid="{00000000-0010-0000-0100-000009000000}" name="Оценочная выручка в месяц" dataDxfId="28"/>
    <tableColumn id="10" xr3:uid="{00000000-0010-0000-0100-00000A000000}" name="Комментарий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Table" displayName="FunnelScenarioTable" ref="A3:E13" headerRowDxfId="26" dataDxfId="25" totalsRowDxfId="24">
  <tableColumns count="5">
    <tableColumn id="1" xr3:uid="{00000000-0010-0000-0200-000001000000}" name="Показатель" dataDxfId="23"/>
    <tableColumn id="2" xr3:uid="{00000000-0010-0000-0200-000002000000}" name="Осторожный" dataDxfId="22"/>
    <tableColumn id="3" xr3:uid="{00000000-0010-0000-0200-000003000000}" name="Базовый" dataDxfId="21"/>
    <tableColumn id="4" xr3:uid="{00000000-0010-0000-0200-000004000000}" name="Оптимистичный" dataDxfId="20"/>
    <tableColumn id="5" xr3:uid="{00000000-0010-0000-0200-000005000000}" name="Комментарий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3:G6" headerRowDxfId="18" dataDxfId="17" totalsRowDxfId="16">
  <tableColumns count="7">
    <tableColumn id="1" xr3:uid="{00000000-0010-0000-0300-000001000000}" name="Сценарий" dataDxfId="15"/>
    <tableColumn id="2" xr3:uid="{00000000-0010-0000-0300-000002000000}" name="Достижимые посещения/мес" dataDxfId="14"/>
    <tableColumn id="3" xr3:uid="{00000000-0010-0000-0300-000003000000}" name="Заявки/мес" dataDxfId="13"/>
    <tableColumn id="4" xr3:uid="{00000000-0010-0000-0300-000004000000}" name="Продажи/мес" dataDxfId="12"/>
    <tableColumn id="5" xr3:uid="{00000000-0010-0000-0300-000005000000}" name="Выручка/мес" dataDxfId="11"/>
    <tableColumn id="6" xr3:uid="{00000000-0010-0000-0300-000006000000}" name="Выручка/год" dataDxfId="10"/>
    <tableColumn id="7" xr3:uid="{00000000-0010-0000-0300-000007000000}" name="Интерпретация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LogTable" displayName="SourcesLogTable" ref="A3:F10" headerRowDxfId="8" dataDxfId="7" totalsRowDxfId="6">
  <tableColumns count="6">
    <tableColumn id="1" xr3:uid="{00000000-0010-0000-0400-000001000000}" name="Источник" dataDxfId="5"/>
    <tableColumn id="2" xr3:uid="{00000000-0010-0000-0400-000002000000}" name="Что брать" dataDxfId="4"/>
    <tableColumn id="3" xr3:uid="{00000000-0010-0000-0400-000003000000}" name="Ссылка / место хранения" dataDxfId="3"/>
    <tableColumn id="4" xr3:uid="{00000000-0010-0000-0400-000004000000}" name="Дата обращения" dataDxfId="2"/>
    <tableColumn id="5" xr3:uid="{00000000-0010-0000-0400-000005000000}" name="Качество" dataDxfId="1"/>
    <tableColumn id="6" xr3:uid="{00000000-0010-0000-0400-000006000000}" name="Комментар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H1"/>
    </sheetView>
  </sheetViews>
  <sheetFormatPr defaultRowHeight="14.25"/>
  <cols>
    <col min="1" max="8" width="55.625" customWidth="1"/>
    <col min="9" max="10" width="28" customWidth="1"/>
  </cols>
  <sheetData>
    <row r="1" spans="1:10" ht="18">
      <c r="A1" s="18" t="s">
        <v>0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</row>
    <row r="4" spans="1:10" ht="42.75">
      <c r="A4" s="3" t="s">
        <v>212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218</v>
      </c>
      <c r="H4" s="3" t="s">
        <v>219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2" t="s">
        <v>9</v>
      </c>
      <c r="B6" s="2" t="s">
        <v>10</v>
      </c>
      <c r="C6" s="2" t="s">
        <v>11</v>
      </c>
      <c r="D6" s="2" t="s">
        <v>12</v>
      </c>
      <c r="E6" s="1"/>
      <c r="F6" s="1"/>
      <c r="G6" s="1"/>
      <c r="H6" s="1"/>
      <c r="I6" s="1"/>
      <c r="J6" s="1"/>
    </row>
    <row r="7" spans="1:10" ht="28.5">
      <c r="A7" s="1">
        <v>1</v>
      </c>
      <c r="B7" s="1" t="s">
        <v>220</v>
      </c>
      <c r="C7" s="1" t="s">
        <v>13</v>
      </c>
      <c r="D7" s="1" t="s">
        <v>221</v>
      </c>
      <c r="E7" s="1"/>
      <c r="F7" s="1"/>
      <c r="G7" s="1"/>
      <c r="H7" s="1"/>
      <c r="I7" s="1"/>
      <c r="J7" s="1"/>
    </row>
    <row r="8" spans="1:10">
      <c r="A8" s="1">
        <v>2</v>
      </c>
      <c r="B8" s="1" t="s">
        <v>222</v>
      </c>
      <c r="C8" s="1" t="s">
        <v>14</v>
      </c>
      <c r="D8" s="1" t="s">
        <v>223</v>
      </c>
      <c r="E8" s="1"/>
      <c r="F8" s="1"/>
      <c r="G8" s="1"/>
      <c r="H8" s="1"/>
      <c r="I8" s="1"/>
      <c r="J8" s="1"/>
    </row>
    <row r="9" spans="1:10" ht="28.5">
      <c r="A9" s="1">
        <v>3</v>
      </c>
      <c r="B9" s="1" t="s">
        <v>224</v>
      </c>
      <c r="C9" s="1" t="s">
        <v>15</v>
      </c>
      <c r="D9" s="1" t="s">
        <v>225</v>
      </c>
      <c r="E9" s="1"/>
      <c r="F9" s="1"/>
      <c r="G9" s="1"/>
      <c r="H9" s="1"/>
      <c r="I9" s="1"/>
      <c r="J9" s="1"/>
    </row>
    <row r="10" spans="1:10">
      <c r="A10" s="1">
        <v>4</v>
      </c>
      <c r="B10" s="1" t="s">
        <v>226</v>
      </c>
      <c r="C10" s="1" t="s">
        <v>16</v>
      </c>
      <c r="D10" s="1" t="s">
        <v>227</v>
      </c>
      <c r="E10" s="1"/>
      <c r="F10" s="1"/>
      <c r="G10" s="1"/>
      <c r="H10" s="1"/>
      <c r="I10" s="1"/>
      <c r="J10" s="1"/>
    </row>
    <row r="11" spans="1:10">
      <c r="A11" s="1">
        <v>5</v>
      </c>
      <c r="B11" s="1" t="s">
        <v>228</v>
      </c>
      <c r="C11" s="1" t="s">
        <v>17</v>
      </c>
      <c r="D11" s="1" t="s">
        <v>229</v>
      </c>
      <c r="E11" s="1"/>
      <c r="F11" s="1"/>
      <c r="G11" s="1"/>
      <c r="H11" s="1"/>
      <c r="I11" s="1"/>
      <c r="J11" s="1"/>
    </row>
    <row r="12" spans="1:10">
      <c r="A12" s="1">
        <v>6</v>
      </c>
      <c r="B12" s="1" t="s">
        <v>230</v>
      </c>
      <c r="C12" s="1" t="s">
        <v>18</v>
      </c>
      <c r="D12" s="1" t="s">
        <v>231</v>
      </c>
      <c r="E12" s="1"/>
      <c r="F12" s="1"/>
      <c r="G12" s="1"/>
      <c r="H12" s="1"/>
      <c r="I12" s="1"/>
      <c r="J12" s="1"/>
    </row>
    <row r="13" spans="1:10" ht="28.5">
      <c r="A13" s="1">
        <v>7</v>
      </c>
      <c r="B13" s="1" t="s">
        <v>232</v>
      </c>
      <c r="C13" s="1" t="s">
        <v>19</v>
      </c>
      <c r="D13" s="1" t="s">
        <v>233</v>
      </c>
      <c r="E13" s="1"/>
      <c r="F13" s="1"/>
      <c r="G13" s="1"/>
      <c r="H13" s="1"/>
      <c r="I13" s="1"/>
      <c r="J13" s="1"/>
    </row>
    <row r="14" spans="1:10">
      <c r="A14" s="1">
        <v>8</v>
      </c>
      <c r="B14" s="1" t="s">
        <v>234</v>
      </c>
      <c r="C14" s="1" t="s">
        <v>20</v>
      </c>
      <c r="D14" s="1" t="s">
        <v>235</v>
      </c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2" t="s">
        <v>21</v>
      </c>
      <c r="B16" s="2" t="s">
        <v>22</v>
      </c>
      <c r="C16" s="2" t="s">
        <v>23</v>
      </c>
      <c r="D16" s="2" t="s">
        <v>24</v>
      </c>
      <c r="E16" s="1"/>
      <c r="F16" s="1"/>
      <c r="G16" s="1"/>
      <c r="H16" s="1"/>
      <c r="I16" s="1"/>
      <c r="J16" s="1"/>
    </row>
    <row r="17" spans="1:10">
      <c r="A17" s="4" t="s">
        <v>25</v>
      </c>
      <c r="B17" s="1" t="s">
        <v>26</v>
      </c>
      <c r="C17" s="1" t="s">
        <v>27</v>
      </c>
      <c r="D17" s="1" t="s">
        <v>236</v>
      </c>
      <c r="E17" s="1"/>
      <c r="F17" s="1"/>
      <c r="G17" s="1"/>
      <c r="H17" s="1"/>
      <c r="I17" s="1"/>
      <c r="J17" s="1"/>
    </row>
    <row r="18" spans="1:10">
      <c r="A18" s="5" t="s">
        <v>28</v>
      </c>
      <c r="B18" s="1" t="s">
        <v>29</v>
      </c>
      <c r="C18" s="1" t="s">
        <v>30</v>
      </c>
      <c r="D18" s="1" t="s">
        <v>237</v>
      </c>
      <c r="E18" s="1"/>
      <c r="F18" s="1"/>
      <c r="G18" s="1"/>
      <c r="H18" s="1"/>
      <c r="I18" s="1"/>
      <c r="J18" s="1"/>
    </row>
    <row r="19" spans="1:10">
      <c r="A19" s="3" t="s">
        <v>31</v>
      </c>
      <c r="B19" s="1" t="s">
        <v>32</v>
      </c>
      <c r="C19" s="1" t="s">
        <v>27</v>
      </c>
      <c r="D19" s="1" t="s">
        <v>238</v>
      </c>
      <c r="E19" s="1"/>
      <c r="F19" s="1"/>
      <c r="G19" s="1"/>
      <c r="H19" s="1"/>
      <c r="I19" s="1"/>
      <c r="J19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4.25"/>
  <cols>
    <col min="1" max="1" width="37.625" customWidth="1"/>
    <col min="2" max="2" width="55.625" customWidth="1"/>
    <col min="3" max="3" width="30.625" customWidth="1"/>
    <col min="4" max="5" width="55.625" customWidth="1"/>
    <col min="6" max="6" width="25.625" customWidth="1"/>
    <col min="7" max="7" width="24" customWidth="1"/>
    <col min="8" max="10" width="28" customWidth="1"/>
  </cols>
  <sheetData>
    <row r="1" spans="1:10" ht="18">
      <c r="A1" s="18" t="s">
        <v>33</v>
      </c>
      <c r="B1" s="18"/>
      <c r="C1" s="18"/>
      <c r="D1" s="18"/>
      <c r="E1" s="18"/>
      <c r="F1" s="18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34</v>
      </c>
      <c r="B3" s="2" t="s">
        <v>22</v>
      </c>
      <c r="C3" s="2" t="s">
        <v>35</v>
      </c>
      <c r="D3" s="2" t="s">
        <v>36</v>
      </c>
      <c r="E3" s="2" t="s">
        <v>24</v>
      </c>
      <c r="F3" s="2" t="s">
        <v>37</v>
      </c>
      <c r="G3" s="1"/>
      <c r="H3" s="1"/>
      <c r="I3" s="1"/>
      <c r="J3" s="1"/>
    </row>
    <row r="4" spans="1:10" ht="42.75">
      <c r="A4" s="1" t="s">
        <v>38</v>
      </c>
      <c r="B4" s="4" t="s">
        <v>201</v>
      </c>
      <c r="C4" s="1" t="s">
        <v>39</v>
      </c>
      <c r="D4" s="1" t="s">
        <v>40</v>
      </c>
      <c r="E4" s="1" t="s">
        <v>239</v>
      </c>
      <c r="F4" s="1" t="s">
        <v>41</v>
      </c>
      <c r="G4" s="1"/>
      <c r="H4" s="1"/>
      <c r="I4" s="1"/>
      <c r="J4" s="1"/>
    </row>
    <row r="5" spans="1:10">
      <c r="A5" s="1" t="s">
        <v>42</v>
      </c>
      <c r="B5" s="4" t="s">
        <v>43</v>
      </c>
      <c r="C5" s="1" t="s">
        <v>44</v>
      </c>
      <c r="D5" s="1" t="s">
        <v>45</v>
      </c>
      <c r="E5" s="1" t="s">
        <v>240</v>
      </c>
      <c r="F5" s="1" t="s">
        <v>41</v>
      </c>
      <c r="G5" s="1"/>
      <c r="H5" s="1"/>
      <c r="I5" s="1"/>
      <c r="J5" s="1"/>
    </row>
    <row r="6" spans="1:10">
      <c r="A6" s="1" t="s">
        <v>46</v>
      </c>
      <c r="B6" s="4" t="s">
        <v>47</v>
      </c>
      <c r="C6" s="1" t="s">
        <v>48</v>
      </c>
      <c r="D6" s="1" t="s">
        <v>49</v>
      </c>
      <c r="E6" s="1" t="s">
        <v>241</v>
      </c>
      <c r="F6" s="1" t="s">
        <v>41</v>
      </c>
      <c r="G6" s="1"/>
      <c r="H6" s="1"/>
      <c r="I6" s="1"/>
      <c r="J6" s="1"/>
    </row>
    <row r="7" spans="1:10">
      <c r="A7" s="1" t="s">
        <v>50</v>
      </c>
      <c r="B7" s="4" t="s">
        <v>51</v>
      </c>
      <c r="C7" s="1" t="s">
        <v>52</v>
      </c>
      <c r="D7" s="1" t="s">
        <v>40</v>
      </c>
      <c r="E7" s="1" t="s">
        <v>242</v>
      </c>
      <c r="F7" s="1" t="s">
        <v>41</v>
      </c>
      <c r="G7" s="1"/>
      <c r="H7" s="1"/>
      <c r="I7" s="1"/>
      <c r="J7" s="1"/>
    </row>
    <row r="8" spans="1:10" ht="42.75">
      <c r="A8" s="1" t="s">
        <v>53</v>
      </c>
      <c r="B8" s="6" t="s">
        <v>186</v>
      </c>
      <c r="C8" s="1" t="s">
        <v>54</v>
      </c>
      <c r="D8" s="1" t="s">
        <v>55</v>
      </c>
      <c r="E8" s="1" t="s">
        <v>243</v>
      </c>
      <c r="F8" s="1" t="s">
        <v>41</v>
      </c>
      <c r="G8" s="1"/>
      <c r="H8" s="1"/>
      <c r="I8" s="1"/>
      <c r="J8" s="1"/>
    </row>
    <row r="9" spans="1:10">
      <c r="A9" s="1" t="s">
        <v>56</v>
      </c>
      <c r="B9" s="6">
        <v>121.14</v>
      </c>
      <c r="C9" s="1" t="s">
        <v>187</v>
      </c>
      <c r="D9" s="1" t="s">
        <v>202</v>
      </c>
      <c r="E9" s="1" t="s">
        <v>244</v>
      </c>
      <c r="F9" s="1" t="s">
        <v>41</v>
      </c>
      <c r="G9" s="1"/>
      <c r="H9" s="1"/>
      <c r="I9" s="1"/>
      <c r="J9" s="1"/>
    </row>
    <row r="10" spans="1:10" ht="28.5">
      <c r="A10" s="1" t="s">
        <v>57</v>
      </c>
      <c r="B10" s="6">
        <v>121.14</v>
      </c>
      <c r="C10" s="1" t="s">
        <v>187</v>
      </c>
      <c r="D10" s="1" t="s">
        <v>203</v>
      </c>
      <c r="E10" s="1" t="s">
        <v>245</v>
      </c>
      <c r="F10" s="1" t="s">
        <v>41</v>
      </c>
      <c r="G10" s="1"/>
      <c r="H10" s="1"/>
      <c r="I10" s="1"/>
      <c r="J10" s="1"/>
    </row>
    <row r="11" spans="1:10" ht="28.5">
      <c r="A11" s="1" t="s">
        <v>58</v>
      </c>
      <c r="B11" s="7">
        <v>290.74</v>
      </c>
      <c r="C11" s="1" t="s">
        <v>187</v>
      </c>
      <c r="D11" s="1" t="s">
        <v>204</v>
      </c>
      <c r="E11" s="1" t="s">
        <v>246</v>
      </c>
      <c r="F11" s="1" t="s">
        <v>41</v>
      </c>
      <c r="G11" s="1"/>
      <c r="H11" s="1"/>
      <c r="I11" s="1"/>
      <c r="J11" s="1"/>
    </row>
    <row r="12" spans="1:10" ht="57">
      <c r="A12" s="1" t="s">
        <v>59</v>
      </c>
      <c r="B12" s="4">
        <v>0.3846</v>
      </c>
      <c r="C12" s="1" t="s">
        <v>60</v>
      </c>
      <c r="D12" s="1" t="s">
        <v>309</v>
      </c>
      <c r="E12" s="1" t="s">
        <v>247</v>
      </c>
      <c r="F12" s="1" t="s">
        <v>41</v>
      </c>
      <c r="G12" s="1"/>
      <c r="H12" s="1"/>
      <c r="I12" s="1"/>
      <c r="J12" s="1"/>
    </row>
    <row r="13" spans="1:10" ht="42.75">
      <c r="A13" s="1" t="s">
        <v>61</v>
      </c>
      <c r="B13" s="4">
        <v>0.65</v>
      </c>
      <c r="C13" s="1" t="s">
        <v>60</v>
      </c>
      <c r="D13" s="1" t="s">
        <v>188</v>
      </c>
      <c r="E13" s="1" t="s">
        <v>248</v>
      </c>
      <c r="F13" s="1" t="s">
        <v>41</v>
      </c>
      <c r="G13" s="1"/>
      <c r="H13" s="1"/>
      <c r="I13" s="1"/>
      <c r="J13" s="1"/>
    </row>
    <row r="14" spans="1:10">
      <c r="A14" s="1" t="s">
        <v>62</v>
      </c>
      <c r="B14" s="8">
        <v>46294.875</v>
      </c>
      <c r="C14" s="1" t="s">
        <v>63</v>
      </c>
      <c r="D14" s="1" t="s">
        <v>40</v>
      </c>
      <c r="E14" s="1" t="s">
        <v>249</v>
      </c>
      <c r="F14" s="1" t="s">
        <v>41</v>
      </c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0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1"/>
      <c r="H16" s="1"/>
      <c r="I16" s="1"/>
      <c r="J16" s="1"/>
    </row>
    <row r="17" spans="1:10">
      <c r="A17" s="1" t="s">
        <v>70</v>
      </c>
      <c r="B17" s="9">
        <v>0.15</v>
      </c>
      <c r="C17" s="9">
        <v>0.01</v>
      </c>
      <c r="D17" s="9">
        <v>0.03</v>
      </c>
      <c r="E17" s="10">
        <f>B10</f>
        <v>121.14</v>
      </c>
      <c r="F17" s="11">
        <v>1</v>
      </c>
      <c r="G17" s="1"/>
      <c r="H17" s="1"/>
      <c r="I17" s="1"/>
      <c r="J17" s="1"/>
    </row>
    <row r="18" spans="1:10">
      <c r="A18" s="1" t="s">
        <v>71</v>
      </c>
      <c r="B18" s="9">
        <v>0.25</v>
      </c>
      <c r="C18" s="9">
        <v>2.5000000000000001E-2</v>
      </c>
      <c r="D18" s="9">
        <v>0.04</v>
      </c>
      <c r="E18" s="10">
        <f>B9</f>
        <v>121.14</v>
      </c>
      <c r="F18" s="11">
        <v>1.2</v>
      </c>
      <c r="G18" s="1"/>
      <c r="H18" s="1"/>
      <c r="I18" s="1"/>
      <c r="J18" s="1"/>
    </row>
    <row r="19" spans="1:10">
      <c r="A19" s="1" t="s">
        <v>72</v>
      </c>
      <c r="B19" s="9">
        <v>0.4</v>
      </c>
      <c r="C19" s="9">
        <v>0.05</v>
      </c>
      <c r="D19" s="9">
        <v>0.05</v>
      </c>
      <c r="E19" s="10">
        <f>B11</f>
        <v>290.74</v>
      </c>
      <c r="F19" s="11">
        <v>1.5</v>
      </c>
      <c r="G19" s="1"/>
      <c r="H19" s="1"/>
      <c r="I19" s="1"/>
      <c r="J19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40.625" customWidth="1"/>
    <col min="2" max="2" width="55.625" customWidth="1"/>
    <col min="3" max="3" width="32.625" customWidth="1"/>
    <col min="4" max="4" width="24.625" customWidth="1"/>
    <col min="5" max="5" width="35.625" customWidth="1"/>
    <col min="6" max="6" width="28.625" customWidth="1"/>
    <col min="7" max="7" width="24" customWidth="1"/>
    <col min="8" max="8" width="28" customWidth="1"/>
    <col min="9" max="9" width="55.625" customWidth="1"/>
    <col min="10" max="10" width="28" customWidth="1"/>
  </cols>
  <sheetData>
    <row r="1" spans="1:10" ht="18">
      <c r="A1" s="18" t="s">
        <v>73</v>
      </c>
      <c r="B1" s="18"/>
      <c r="C1" s="18"/>
      <c r="D1" s="18"/>
      <c r="E1" s="18"/>
      <c r="F1" s="18"/>
      <c r="G1" s="18"/>
      <c r="H1" s="18"/>
      <c r="I1" s="18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24</v>
      </c>
      <c r="J3" s="1"/>
    </row>
    <row r="4" spans="1:10" ht="42.75">
      <c r="A4" s="1" t="s">
        <v>82</v>
      </c>
      <c r="B4" s="1" t="s">
        <v>310</v>
      </c>
      <c r="C4" s="6">
        <v>327.75</v>
      </c>
      <c r="D4" s="6">
        <v>0.08</v>
      </c>
      <c r="E4" s="10">
        <f t="shared" ref="E4:E10" si="0">C4*D4</f>
        <v>26.22</v>
      </c>
      <c r="F4" s="6">
        <v>1</v>
      </c>
      <c r="G4" s="10">
        <f t="shared" ref="G4:G10" si="1">E4*F4</f>
        <v>26.22</v>
      </c>
      <c r="H4" s="1" t="s">
        <v>83</v>
      </c>
      <c r="I4" s="1" t="s">
        <v>250</v>
      </c>
      <c r="J4" s="1"/>
    </row>
    <row r="5" spans="1:10" ht="42.75">
      <c r="A5" s="1" t="s">
        <v>84</v>
      </c>
      <c r="B5" s="1" t="s">
        <v>85</v>
      </c>
      <c r="C5" s="6">
        <v>0</v>
      </c>
      <c r="D5" s="6">
        <v>0</v>
      </c>
      <c r="E5" s="10">
        <f t="shared" si="0"/>
        <v>0</v>
      </c>
      <c r="F5" s="6">
        <v>0</v>
      </c>
      <c r="G5" s="10">
        <f t="shared" si="1"/>
        <v>0</v>
      </c>
      <c r="H5" s="1" t="s">
        <v>189</v>
      </c>
      <c r="I5" s="1" t="s">
        <v>254</v>
      </c>
      <c r="J5" s="1"/>
    </row>
    <row r="6" spans="1:10" ht="28.5">
      <c r="A6" s="1" t="s">
        <v>86</v>
      </c>
      <c r="B6" s="1" t="s">
        <v>87</v>
      </c>
      <c r="C6" s="6">
        <v>0</v>
      </c>
      <c r="D6" s="6">
        <v>0</v>
      </c>
      <c r="E6" s="10">
        <f t="shared" si="0"/>
        <v>0</v>
      </c>
      <c r="F6" s="6">
        <v>0</v>
      </c>
      <c r="G6" s="10">
        <f t="shared" si="1"/>
        <v>0</v>
      </c>
      <c r="H6" s="1" t="s">
        <v>189</v>
      </c>
      <c r="I6" s="1" t="s">
        <v>255</v>
      </c>
      <c r="J6" s="1"/>
    </row>
    <row r="7" spans="1:10" ht="28.5">
      <c r="A7" s="1" t="s">
        <v>88</v>
      </c>
      <c r="B7" s="1" t="s">
        <v>89</v>
      </c>
      <c r="C7" s="6">
        <v>0</v>
      </c>
      <c r="D7" s="6">
        <v>0</v>
      </c>
      <c r="E7" s="10">
        <f t="shared" si="0"/>
        <v>0</v>
      </c>
      <c r="F7" s="6">
        <v>0</v>
      </c>
      <c r="G7" s="10">
        <f t="shared" si="1"/>
        <v>0</v>
      </c>
      <c r="H7" s="1" t="s">
        <v>189</v>
      </c>
      <c r="I7" s="1" t="s">
        <v>311</v>
      </c>
      <c r="J7" s="1"/>
    </row>
    <row r="8" spans="1:10">
      <c r="A8" s="1" t="s">
        <v>90</v>
      </c>
      <c r="B8" s="1" t="s">
        <v>91</v>
      </c>
      <c r="C8" s="6">
        <v>0</v>
      </c>
      <c r="D8" s="6">
        <v>1</v>
      </c>
      <c r="E8" s="10">
        <f t="shared" si="0"/>
        <v>0</v>
      </c>
      <c r="F8" s="6">
        <v>0</v>
      </c>
      <c r="G8" s="10">
        <f t="shared" si="1"/>
        <v>0</v>
      </c>
      <c r="H8" s="1" t="s">
        <v>189</v>
      </c>
      <c r="I8" s="1" t="s">
        <v>190</v>
      </c>
      <c r="J8" s="1"/>
    </row>
    <row r="9" spans="1:10" ht="28.5">
      <c r="A9" s="1" t="s">
        <v>92</v>
      </c>
      <c r="B9" s="1" t="s">
        <v>93</v>
      </c>
      <c r="C9" s="6">
        <v>0</v>
      </c>
      <c r="D9" s="6">
        <v>0</v>
      </c>
      <c r="E9" s="10">
        <f t="shared" si="0"/>
        <v>0</v>
      </c>
      <c r="F9" s="6">
        <v>0</v>
      </c>
      <c r="G9" s="10">
        <f t="shared" si="1"/>
        <v>0</v>
      </c>
      <c r="H9" s="1" t="s">
        <v>189</v>
      </c>
      <c r="I9" s="1" t="s">
        <v>191</v>
      </c>
      <c r="J9" s="1"/>
    </row>
    <row r="10" spans="1:10">
      <c r="A10" s="1" t="s">
        <v>94</v>
      </c>
      <c r="B10" s="1" t="s">
        <v>95</v>
      </c>
      <c r="C10" s="6">
        <v>0</v>
      </c>
      <c r="D10" s="6">
        <v>0</v>
      </c>
      <c r="E10" s="10">
        <f t="shared" si="0"/>
        <v>0</v>
      </c>
      <c r="F10" s="6">
        <v>0</v>
      </c>
      <c r="G10" s="10">
        <f t="shared" si="1"/>
        <v>0</v>
      </c>
      <c r="H10" s="1" t="s">
        <v>189</v>
      </c>
      <c r="I10" s="1" t="s">
        <v>192</v>
      </c>
      <c r="J10" s="1"/>
    </row>
    <row r="11" spans="1:10">
      <c r="A11" s="1"/>
      <c r="B11" s="1"/>
      <c r="C11" s="12"/>
      <c r="D11" s="12"/>
      <c r="E11" s="12"/>
      <c r="F11" s="12"/>
      <c r="G11" s="12"/>
      <c r="H11" s="1"/>
      <c r="I11" s="1"/>
      <c r="J11" s="1"/>
    </row>
    <row r="12" spans="1:10" ht="15">
      <c r="A12" s="2" t="s">
        <v>8</v>
      </c>
      <c r="B12" s="2" t="s">
        <v>96</v>
      </c>
      <c r="C12" s="13" t="s">
        <v>22</v>
      </c>
      <c r="D12" s="13" t="s">
        <v>35</v>
      </c>
      <c r="E12" s="13" t="s">
        <v>24</v>
      </c>
      <c r="F12" s="13" t="s">
        <v>97</v>
      </c>
      <c r="G12" s="12"/>
      <c r="H12" s="1"/>
      <c r="I12" s="1"/>
      <c r="J12" s="1"/>
    </row>
    <row r="13" spans="1:10">
      <c r="A13" s="1" t="s">
        <v>98</v>
      </c>
      <c r="B13" s="1" t="s">
        <v>99</v>
      </c>
      <c r="C13" s="10">
        <f>SUM(E4:E10)</f>
        <v>26.22</v>
      </c>
      <c r="D13" s="12" t="s">
        <v>100</v>
      </c>
      <c r="E13" s="12" t="s">
        <v>251</v>
      </c>
      <c r="F13" s="12" t="s">
        <v>101</v>
      </c>
      <c r="G13" s="12"/>
      <c r="H13" s="1"/>
      <c r="I13" s="1"/>
      <c r="J13" s="1"/>
    </row>
    <row r="14" spans="1:10">
      <c r="A14" s="1" t="s">
        <v>102</v>
      </c>
      <c r="B14" s="1" t="s">
        <v>103</v>
      </c>
      <c r="C14" s="10">
        <f>SUM(G4:G10)</f>
        <v>26.22</v>
      </c>
      <c r="D14" s="12" t="s">
        <v>100</v>
      </c>
      <c r="E14" s="12" t="s">
        <v>252</v>
      </c>
      <c r="F14" s="12" t="s">
        <v>101</v>
      </c>
      <c r="G14" s="12"/>
      <c r="H14" s="1"/>
      <c r="I14" s="1"/>
      <c r="J14" s="1"/>
    </row>
    <row r="15" spans="1:10">
      <c r="A15" s="1" t="s">
        <v>104</v>
      </c>
      <c r="B15" s="1" t="s">
        <v>105</v>
      </c>
      <c r="C15" s="10">
        <f>C14*12</f>
        <v>314.64</v>
      </c>
      <c r="D15" s="12" t="s">
        <v>100</v>
      </c>
      <c r="E15" s="12" t="s">
        <v>253</v>
      </c>
      <c r="F15" s="12" t="s">
        <v>101</v>
      </c>
      <c r="G15" s="12"/>
      <c r="H15" s="1"/>
      <c r="I15" s="1"/>
      <c r="J15" s="1"/>
    </row>
  </sheetData>
  <mergeCells count="1">
    <mergeCell ref="A1:I1"/>
  </mergeCells>
  <dataValidations count="1">
    <dataValidation type="list" sqref="H4:H10" xr:uid="{00000000-0002-0000-02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defaultRowHeight="14.25"/>
  <cols>
    <col min="1" max="1" width="48.625" customWidth="1"/>
    <col min="2" max="2" width="34.625" customWidth="1"/>
    <col min="3" max="3" width="33.625" customWidth="1"/>
    <col min="4" max="4" width="55.625" customWidth="1"/>
    <col min="5" max="5" width="28.625" customWidth="1"/>
    <col min="6" max="6" width="23.625" customWidth="1"/>
    <col min="7" max="7" width="31.625" customWidth="1"/>
    <col min="8" max="9" width="28" customWidth="1"/>
    <col min="10" max="10" width="55.625" customWidth="1"/>
  </cols>
  <sheetData>
    <row r="1" spans="1:10" ht="18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80</v>
      </c>
      <c r="G3" s="2" t="s">
        <v>112</v>
      </c>
      <c r="H3" s="2" t="s">
        <v>68</v>
      </c>
      <c r="I3" s="2" t="s">
        <v>113</v>
      </c>
      <c r="J3" s="2" t="s">
        <v>24</v>
      </c>
    </row>
    <row r="4" spans="1:10" ht="42.75">
      <c r="A4" s="4" t="s">
        <v>193</v>
      </c>
      <c r="B4" s="4" t="s">
        <v>194</v>
      </c>
      <c r="C4" s="6">
        <v>507000</v>
      </c>
      <c r="D4" s="7">
        <v>1.9580000000000001E-3</v>
      </c>
      <c r="E4" s="7">
        <v>0.75</v>
      </c>
      <c r="F4" s="10">
        <f>C4*D4*E4</f>
        <v>744.52949999999998</v>
      </c>
      <c r="G4" s="9">
        <v>1E-3</v>
      </c>
      <c r="H4" s="6">
        <v>121.14</v>
      </c>
      <c r="I4" s="10">
        <f>F4*G4*H4</f>
        <v>90.192303629999998</v>
      </c>
      <c r="J4" s="1" t="s">
        <v>256</v>
      </c>
    </row>
    <row r="5" spans="1:10" ht="42.75">
      <c r="A5" s="4" t="s">
        <v>195</v>
      </c>
      <c r="B5" s="4" t="s">
        <v>196</v>
      </c>
      <c r="C5" s="6">
        <v>7800000</v>
      </c>
      <c r="D5" s="7">
        <v>1.9580000000000001E-3</v>
      </c>
      <c r="E5" s="7">
        <v>0.35</v>
      </c>
      <c r="F5" s="10">
        <f>C5*D5*E5</f>
        <v>5345.34</v>
      </c>
      <c r="G5" s="9">
        <v>1E-3</v>
      </c>
      <c r="H5" s="6">
        <v>121.14</v>
      </c>
      <c r="I5" s="10">
        <f>F5*G5*H5</f>
        <v>647.53448760000003</v>
      </c>
      <c r="J5" s="1" t="s">
        <v>312</v>
      </c>
    </row>
    <row r="6" spans="1:10" ht="57">
      <c r="A6" s="4" t="s">
        <v>197</v>
      </c>
      <c r="B6" s="4" t="s">
        <v>198</v>
      </c>
      <c r="C6" s="6">
        <v>678500</v>
      </c>
      <c r="D6" s="7">
        <v>1.9580000000000001E-3</v>
      </c>
      <c r="E6" s="7">
        <v>0.5</v>
      </c>
      <c r="F6" s="10">
        <f>C6*D6*E6</f>
        <v>664.25150000000008</v>
      </c>
      <c r="G6" s="9">
        <v>1E-3</v>
      </c>
      <c r="H6" s="6">
        <v>121.14</v>
      </c>
      <c r="I6" s="10">
        <f>F6*G6*H6</f>
        <v>80.467426710000012</v>
      </c>
      <c r="J6" s="1" t="s">
        <v>313</v>
      </c>
    </row>
    <row r="7" spans="1:10" ht="57">
      <c r="A7" s="4" t="s">
        <v>199</v>
      </c>
      <c r="B7" s="4" t="s">
        <v>194</v>
      </c>
      <c r="C7" s="6">
        <v>20000</v>
      </c>
      <c r="D7" s="7">
        <v>1.9580000000000001E-3</v>
      </c>
      <c r="E7" s="7">
        <v>0.7</v>
      </c>
      <c r="F7" s="10">
        <f>C7*D7*E7</f>
        <v>27.412000000000003</v>
      </c>
      <c r="G7" s="9">
        <v>1E-3</v>
      </c>
      <c r="H7" s="6">
        <v>121.14</v>
      </c>
      <c r="I7" s="10">
        <f>F7*G7*H7</f>
        <v>3.3206896800000001</v>
      </c>
      <c r="J7" s="1" t="s">
        <v>314</v>
      </c>
    </row>
    <row r="8" spans="1:10" ht="28.5">
      <c r="A8" s="4"/>
      <c r="B8" s="4"/>
      <c r="C8" s="6"/>
      <c r="D8" s="7"/>
      <c r="E8" s="7"/>
      <c r="F8" s="10">
        <f>C8*D8*E8</f>
        <v>0</v>
      </c>
      <c r="G8" s="9"/>
      <c r="H8" s="6"/>
      <c r="I8" s="10">
        <f>F8*G8*H8</f>
        <v>0</v>
      </c>
      <c r="J8" s="1" t="s">
        <v>315</v>
      </c>
    </row>
    <row r="9" spans="1:10">
      <c r="A9" s="1"/>
      <c r="B9" s="1"/>
      <c r="C9" s="12"/>
      <c r="D9" s="1"/>
      <c r="E9" s="1"/>
      <c r="F9" s="12"/>
      <c r="G9" s="1"/>
      <c r="H9" s="12"/>
      <c r="I9" s="12"/>
      <c r="J9" s="1"/>
    </row>
    <row r="10" spans="1:10" ht="15">
      <c r="A10" s="2" t="s">
        <v>114</v>
      </c>
      <c r="B10" s="2" t="s">
        <v>96</v>
      </c>
      <c r="C10" s="13" t="s">
        <v>22</v>
      </c>
      <c r="D10" s="2" t="s">
        <v>24</v>
      </c>
      <c r="E10" s="1"/>
      <c r="F10" s="12"/>
      <c r="G10" s="1"/>
      <c r="H10" s="12"/>
      <c r="I10" s="12"/>
      <c r="J10" s="1"/>
    </row>
    <row r="11" spans="1:10">
      <c r="A11" s="1" t="s">
        <v>115</v>
      </c>
      <c r="B11" s="1" t="s">
        <v>116</v>
      </c>
      <c r="C11" s="10">
        <f>SUM(F4:F8)</f>
        <v>6781.5330000000004</v>
      </c>
      <c r="D11" s="1" t="s">
        <v>257</v>
      </c>
      <c r="E11" s="1"/>
      <c r="F11" s="12"/>
      <c r="G11" s="1"/>
      <c r="H11" s="12"/>
      <c r="I11" s="12"/>
      <c r="J11" s="1"/>
    </row>
    <row r="12" spans="1:10" ht="42.75">
      <c r="A12" s="1" t="s">
        <v>117</v>
      </c>
      <c r="B12" s="1" t="s">
        <v>118</v>
      </c>
      <c r="C12" s="10">
        <f>C11/'01_Параметры'!B13</f>
        <v>10433.127692307693</v>
      </c>
      <c r="D12" s="1" t="s">
        <v>258</v>
      </c>
      <c r="E12" s="1"/>
      <c r="F12" s="12"/>
      <c r="G12" s="1"/>
      <c r="H12" s="12"/>
      <c r="I12" s="12"/>
      <c r="J12" s="1"/>
    </row>
    <row r="13" spans="1:10">
      <c r="A13" s="1" t="s">
        <v>119</v>
      </c>
      <c r="B13" s="1" t="s">
        <v>120</v>
      </c>
      <c r="C13" s="10">
        <f>SUM(I4:I8)</f>
        <v>821.51490762000003</v>
      </c>
      <c r="D13" s="1" t="s">
        <v>259</v>
      </c>
      <c r="E13" s="1"/>
      <c r="F13" s="12"/>
      <c r="G13" s="1"/>
      <c r="H13" s="12"/>
      <c r="I13" s="12"/>
      <c r="J13" s="1"/>
    </row>
    <row r="14" spans="1:10">
      <c r="A14" s="1" t="s">
        <v>121</v>
      </c>
      <c r="B14" s="1" t="s">
        <v>122</v>
      </c>
      <c r="C14" s="10">
        <f>C13/'01_Параметры'!B13*12</f>
        <v>15166.429063753847</v>
      </c>
      <c r="D14" s="1" t="s">
        <v>260</v>
      </c>
      <c r="E14" s="1"/>
      <c r="F14" s="12"/>
      <c r="G14" s="1"/>
      <c r="H14" s="12"/>
      <c r="I14" s="12"/>
      <c r="J14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defaultRowHeight="14.25"/>
  <cols>
    <col min="1" max="1" width="42.625" customWidth="1"/>
    <col min="2" max="4" width="20" customWidth="1"/>
    <col min="5" max="5" width="45.625" customWidth="1"/>
    <col min="6" max="6" width="22" customWidth="1"/>
    <col min="7" max="7" width="24" customWidth="1"/>
    <col min="8" max="10" width="28" customWidth="1"/>
  </cols>
  <sheetData>
    <row r="1" spans="1:10" ht="18">
      <c r="A1" s="18" t="s">
        <v>123</v>
      </c>
      <c r="B1" s="18"/>
      <c r="C1" s="18"/>
      <c r="D1" s="18"/>
      <c r="E1" s="18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114</v>
      </c>
      <c r="B3" s="2" t="s">
        <v>70</v>
      </c>
      <c r="C3" s="2" t="s">
        <v>71</v>
      </c>
      <c r="D3" s="2" t="s">
        <v>72</v>
      </c>
      <c r="E3" s="2" t="s">
        <v>24</v>
      </c>
      <c r="F3" s="1"/>
      <c r="G3" s="1"/>
      <c r="H3" s="1"/>
      <c r="I3" s="1"/>
      <c r="J3" s="1"/>
    </row>
    <row r="4" spans="1:10">
      <c r="A4" s="1" t="s">
        <v>102</v>
      </c>
      <c r="B4" s="10">
        <f>'02_Трафик_охват'!C14</f>
        <v>26.22</v>
      </c>
      <c r="C4" s="10">
        <f>'02_Трафик_охват'!C14</f>
        <v>26.22</v>
      </c>
      <c r="D4" s="10">
        <f>'02_Трафик_охват'!C14</f>
        <v>26.22</v>
      </c>
      <c r="E4" s="1" t="s">
        <v>261</v>
      </c>
      <c r="F4" s="1"/>
      <c r="G4" s="1"/>
      <c r="H4" s="1"/>
      <c r="I4" s="1"/>
      <c r="J4" s="1"/>
    </row>
    <row r="5" spans="1:10">
      <c r="A5" s="1" t="s">
        <v>124</v>
      </c>
      <c r="B5" s="14">
        <f>'01_Параметры'!B17</f>
        <v>0.15</v>
      </c>
      <c r="C5" s="14">
        <f>'01_Параметры'!B18</f>
        <v>0.25</v>
      </c>
      <c r="D5" s="14">
        <f>'01_Параметры'!B19</f>
        <v>0.4</v>
      </c>
      <c r="E5" s="1" t="s">
        <v>262</v>
      </c>
      <c r="F5" s="1"/>
      <c r="G5" s="1"/>
      <c r="H5" s="1"/>
      <c r="I5" s="1"/>
      <c r="J5" s="1"/>
    </row>
    <row r="6" spans="1:10">
      <c r="A6" s="1" t="s">
        <v>125</v>
      </c>
      <c r="B6" s="10">
        <f>B4*B5</f>
        <v>3.9329999999999998</v>
      </c>
      <c r="C6" s="10">
        <f>C4*C5</f>
        <v>6.5549999999999997</v>
      </c>
      <c r="D6" s="10">
        <f>D4*D5</f>
        <v>10.488</v>
      </c>
      <c r="E6" s="1" t="s">
        <v>263</v>
      </c>
      <c r="F6" s="1"/>
      <c r="G6" s="1"/>
      <c r="H6" s="1"/>
      <c r="I6" s="1"/>
      <c r="J6" s="1"/>
    </row>
    <row r="7" spans="1:10">
      <c r="A7" s="1" t="s">
        <v>66</v>
      </c>
      <c r="B7" s="15">
        <f>'01_Параметры'!C17</f>
        <v>0.01</v>
      </c>
      <c r="C7" s="15">
        <f>'01_Параметры'!C18</f>
        <v>2.5000000000000001E-2</v>
      </c>
      <c r="D7" s="15">
        <f>'01_Параметры'!C19</f>
        <v>0.05</v>
      </c>
      <c r="E7" s="1" t="s">
        <v>262</v>
      </c>
      <c r="F7" s="1"/>
      <c r="G7" s="1"/>
      <c r="H7" s="1"/>
      <c r="I7" s="1"/>
      <c r="J7" s="1"/>
    </row>
    <row r="8" spans="1:10">
      <c r="A8" s="1" t="s">
        <v>126</v>
      </c>
      <c r="B8" s="10">
        <f>B6*B7</f>
        <v>3.9329999999999997E-2</v>
      </c>
      <c r="C8" s="10">
        <f>C6*C7</f>
        <v>0.16387499999999999</v>
      </c>
      <c r="D8" s="10">
        <f>D6*D7</f>
        <v>0.52439999999999998</v>
      </c>
      <c r="E8" s="1" t="s">
        <v>264</v>
      </c>
      <c r="F8" s="1"/>
      <c r="G8" s="1"/>
      <c r="H8" s="1"/>
      <c r="I8" s="1"/>
      <c r="J8" s="1"/>
    </row>
    <row r="9" spans="1:10">
      <c r="A9" s="1" t="s">
        <v>67</v>
      </c>
      <c r="B9" s="15">
        <f>'01_Параметры'!D17</f>
        <v>0.03</v>
      </c>
      <c r="C9" s="15">
        <f>'01_Параметры'!D18</f>
        <v>0.04</v>
      </c>
      <c r="D9" s="15">
        <f>'01_Параметры'!D19</f>
        <v>0.05</v>
      </c>
      <c r="E9" s="1" t="s">
        <v>262</v>
      </c>
      <c r="F9" s="1"/>
      <c r="G9" s="1"/>
      <c r="H9" s="1"/>
      <c r="I9" s="1"/>
      <c r="J9" s="1"/>
    </row>
    <row r="10" spans="1:10">
      <c r="A10" s="1" t="s">
        <v>127</v>
      </c>
      <c r="B10" s="10">
        <f>B8*B9</f>
        <v>1.1798999999999998E-3</v>
      </c>
      <c r="C10" s="10">
        <f>C8*C9</f>
        <v>6.5550000000000001E-3</v>
      </c>
      <c r="D10" s="10">
        <f>D8*D9</f>
        <v>2.622E-2</v>
      </c>
      <c r="E10" s="1" t="s">
        <v>265</v>
      </c>
      <c r="F10" s="1"/>
      <c r="G10" s="1"/>
      <c r="H10" s="1"/>
      <c r="I10" s="1"/>
      <c r="J10" s="1"/>
    </row>
    <row r="11" spans="1:10">
      <c r="A11" s="1" t="s">
        <v>68</v>
      </c>
      <c r="B11" s="10">
        <f>'01_Параметры'!E17</f>
        <v>121.14</v>
      </c>
      <c r="C11" s="10">
        <f>'01_Параметры'!E18</f>
        <v>121.14</v>
      </c>
      <c r="D11" s="10">
        <f>'01_Параметры'!E19</f>
        <v>290.74</v>
      </c>
      <c r="E11" s="1" t="s">
        <v>266</v>
      </c>
      <c r="F11" s="1"/>
      <c r="G11" s="1"/>
      <c r="H11" s="1"/>
      <c r="I11" s="1"/>
      <c r="J11" s="1"/>
    </row>
    <row r="12" spans="1:10">
      <c r="A12" s="1" t="s">
        <v>128</v>
      </c>
      <c r="B12" s="10">
        <f>B10*B11</f>
        <v>0.14293308599999999</v>
      </c>
      <c r="C12" s="10">
        <f>C10*C11</f>
        <v>0.79407269999999996</v>
      </c>
      <c r="D12" s="10">
        <f>D10*D11</f>
        <v>7.6232028000000005</v>
      </c>
      <c r="E12" s="1" t="s">
        <v>267</v>
      </c>
      <c r="F12" s="1"/>
      <c r="G12" s="1"/>
      <c r="H12" s="1"/>
      <c r="I12" s="1"/>
      <c r="J12" s="1"/>
    </row>
    <row r="13" spans="1:10">
      <c r="A13" s="1" t="s">
        <v>129</v>
      </c>
      <c r="B13" s="10">
        <f>B12*12</f>
        <v>1.7151970319999998</v>
      </c>
      <c r="C13" s="10">
        <f>C12*12</f>
        <v>9.5288723999999991</v>
      </c>
      <c r="D13" s="10">
        <f>D12*12</f>
        <v>91.478433600000002</v>
      </c>
      <c r="E13" s="1" t="s">
        <v>268</v>
      </c>
      <c r="F13" s="1"/>
      <c r="G13" s="1"/>
      <c r="H13" s="1"/>
      <c r="I13" s="1"/>
      <c r="J13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4.25"/>
  <cols>
    <col min="1" max="1" width="35.625" customWidth="1"/>
    <col min="2" max="2" width="27.625" customWidth="1"/>
    <col min="3" max="3" width="20" customWidth="1"/>
    <col min="4" max="4" width="39.625" customWidth="1"/>
    <col min="5" max="5" width="20" customWidth="1"/>
    <col min="6" max="6" width="22" customWidth="1"/>
    <col min="7" max="7" width="55.625" customWidth="1"/>
    <col min="8" max="10" width="28" customWidth="1"/>
  </cols>
  <sheetData>
    <row r="1" spans="1:10" ht="18">
      <c r="A1" s="18" t="s">
        <v>130</v>
      </c>
      <c r="B1" s="18"/>
      <c r="C1" s="18"/>
      <c r="D1" s="18"/>
      <c r="E1" s="18"/>
      <c r="F1" s="18"/>
      <c r="G1" s="18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64</v>
      </c>
      <c r="B3" s="2" t="s">
        <v>269</v>
      </c>
      <c r="C3" s="2" t="s">
        <v>270</v>
      </c>
      <c r="D3" s="2" t="s">
        <v>271</v>
      </c>
      <c r="E3" s="2" t="s">
        <v>272</v>
      </c>
      <c r="F3" s="2" t="s">
        <v>131</v>
      </c>
      <c r="G3" s="2" t="s">
        <v>132</v>
      </c>
      <c r="H3" s="1"/>
      <c r="I3" s="1"/>
      <c r="J3" s="1"/>
    </row>
    <row r="4" spans="1:10">
      <c r="A4" s="1" t="s">
        <v>70</v>
      </c>
      <c r="B4" s="10">
        <f>'04_Воронка'!B6</f>
        <v>3.9329999999999998</v>
      </c>
      <c r="C4" s="10">
        <f>'04_Воронка'!B8</f>
        <v>3.9329999999999997E-2</v>
      </c>
      <c r="D4" s="10">
        <f>'04_Воронка'!B10</f>
        <v>1.1798999999999998E-3</v>
      </c>
      <c r="E4" s="10">
        <f>'04_Воронка'!B12</f>
        <v>0.14293308599999999</v>
      </c>
      <c r="F4" s="10">
        <f>'04_Воронка'!B13</f>
        <v>1.7151970319999998</v>
      </c>
      <c r="G4" s="3" t="s">
        <v>273</v>
      </c>
      <c r="H4" s="1"/>
      <c r="I4" s="1"/>
      <c r="J4" s="1"/>
    </row>
    <row r="5" spans="1:10" ht="28.5">
      <c r="A5" s="1" t="s">
        <v>71</v>
      </c>
      <c r="B5" s="10">
        <f>'04_Воронка'!C6</f>
        <v>6.5549999999999997</v>
      </c>
      <c r="C5" s="10">
        <f>'04_Воронка'!C8</f>
        <v>0.16387499999999999</v>
      </c>
      <c r="D5" s="10">
        <f>'04_Воронка'!C10</f>
        <v>6.5550000000000001E-3</v>
      </c>
      <c r="E5" s="10">
        <f>'04_Воронка'!C12</f>
        <v>0.79407269999999996</v>
      </c>
      <c r="F5" s="10">
        <f>'04_Воронка'!C13</f>
        <v>9.5288723999999991</v>
      </c>
      <c r="G5" s="3" t="s">
        <v>274</v>
      </c>
      <c r="H5" s="1"/>
      <c r="I5" s="1"/>
      <c r="J5" s="1"/>
    </row>
    <row r="6" spans="1:10">
      <c r="A6" s="1" t="s">
        <v>72</v>
      </c>
      <c r="B6" s="10">
        <f>'04_Воронка'!D6</f>
        <v>10.488</v>
      </c>
      <c r="C6" s="10">
        <f>'04_Воронка'!D8</f>
        <v>0.52439999999999998</v>
      </c>
      <c r="D6" s="10">
        <f>'04_Воронка'!D10</f>
        <v>2.622E-2</v>
      </c>
      <c r="E6" s="10">
        <f>'04_Воронка'!D12</f>
        <v>7.6232028000000005</v>
      </c>
      <c r="F6" s="10">
        <f>'04_Воронка'!D13</f>
        <v>91.478433600000002</v>
      </c>
      <c r="G6" s="3" t="s">
        <v>275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114</v>
      </c>
      <c r="B8" s="13" t="s">
        <v>96</v>
      </c>
      <c r="C8" s="13" t="s">
        <v>22</v>
      </c>
      <c r="D8" s="13" t="s">
        <v>24</v>
      </c>
      <c r="E8" s="12"/>
      <c r="F8" s="12"/>
      <c r="G8" s="1"/>
      <c r="H8" s="1"/>
      <c r="I8" s="1"/>
      <c r="J8" s="1"/>
    </row>
    <row r="9" spans="1:10">
      <c r="A9" s="1" t="s">
        <v>133</v>
      </c>
      <c r="B9" s="12" t="s">
        <v>134</v>
      </c>
      <c r="C9" s="10">
        <f>MIN(F4:F6)</f>
        <v>1.7151970319999998</v>
      </c>
      <c r="D9" s="12" t="s">
        <v>276</v>
      </c>
      <c r="E9" s="12"/>
      <c r="F9" s="12"/>
      <c r="G9" s="1"/>
      <c r="H9" s="1"/>
      <c r="I9" s="1"/>
      <c r="J9" s="1"/>
    </row>
    <row r="10" spans="1:10">
      <c r="A10" s="1" t="s">
        <v>135</v>
      </c>
      <c r="B10" s="12" t="s">
        <v>136</v>
      </c>
      <c r="C10" s="10">
        <f>F5</f>
        <v>9.5288723999999991</v>
      </c>
      <c r="D10" s="12" t="s">
        <v>277</v>
      </c>
      <c r="E10" s="12"/>
      <c r="F10" s="12"/>
      <c r="G10" s="1"/>
      <c r="H10" s="1"/>
      <c r="I10" s="1"/>
      <c r="J10" s="1"/>
    </row>
    <row r="11" spans="1:10">
      <c r="A11" s="1" t="s">
        <v>137</v>
      </c>
      <c r="B11" s="12" t="s">
        <v>138</v>
      </c>
      <c r="C11" s="10">
        <f>MAX(F4:F6)</f>
        <v>91.478433600000002</v>
      </c>
      <c r="D11" s="12" t="s">
        <v>278</v>
      </c>
      <c r="E11" s="12"/>
      <c r="F11" s="12"/>
      <c r="G11" s="1"/>
      <c r="H11" s="1"/>
      <c r="I11" s="1"/>
      <c r="J11" s="1"/>
    </row>
    <row r="12" spans="1:10">
      <c r="A12" s="1" t="s">
        <v>139</v>
      </c>
      <c r="B12" s="12" t="s">
        <v>140</v>
      </c>
      <c r="C12" s="10">
        <f>C11-C9</f>
        <v>89.763236567999996</v>
      </c>
      <c r="D12" s="12" t="s">
        <v>279</v>
      </c>
      <c r="E12" s="12"/>
      <c r="F12" s="12"/>
      <c r="G12" s="1"/>
      <c r="H12" s="1"/>
      <c r="I12" s="1"/>
      <c r="J12" s="1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{55BF7341-B2D2-C546-BCA3-4AA7F40C8455}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F7341-B2D2-C546-BCA3-4AA7F40C8455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defaultRowHeight="14.25"/>
  <cols>
    <col min="1" max="1" width="53.625" customWidth="1"/>
    <col min="2" max="3" width="20" customWidth="1"/>
    <col min="4" max="4" width="25.625" customWidth="1"/>
    <col min="5" max="5" width="35.625" customWidth="1"/>
    <col min="6" max="6" width="33.625" customWidth="1"/>
    <col min="7" max="7" width="51.625" customWidth="1"/>
    <col min="8" max="10" width="28" customWidth="1"/>
  </cols>
  <sheetData>
    <row r="1" spans="1:10" ht="18">
      <c r="A1" s="18" t="s">
        <v>141</v>
      </c>
      <c r="B1" s="18"/>
      <c r="C1" s="18"/>
      <c r="D1" s="18"/>
      <c r="E1" s="18"/>
      <c r="F1" s="18"/>
      <c r="G1" s="18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64</v>
      </c>
      <c r="B3" s="2" t="s">
        <v>271</v>
      </c>
      <c r="C3" s="2" t="s">
        <v>68</v>
      </c>
      <c r="D3" s="2" t="s">
        <v>69</v>
      </c>
      <c r="E3" s="2" t="s">
        <v>142</v>
      </c>
      <c r="F3" s="2" t="s">
        <v>143</v>
      </c>
      <c r="G3" s="2" t="s">
        <v>24</v>
      </c>
      <c r="H3" s="1"/>
      <c r="I3" s="1"/>
      <c r="J3" s="1"/>
    </row>
    <row r="4" spans="1:10">
      <c r="A4" s="1" t="s">
        <v>70</v>
      </c>
      <c r="B4" s="10">
        <f>'04_Воронка'!B10</f>
        <v>1.1798999999999998E-3</v>
      </c>
      <c r="C4" s="10">
        <f>'04_Воронка'!B11</f>
        <v>121.14</v>
      </c>
      <c r="D4" s="10">
        <f>'01_Параметры'!F17</f>
        <v>1</v>
      </c>
      <c r="E4" s="10">
        <f>B4*C4*D4*12</f>
        <v>1.7151970319999998</v>
      </c>
      <c r="F4" s="10">
        <f>C4*D4</f>
        <v>121.14</v>
      </c>
      <c r="G4" s="3" t="s">
        <v>280</v>
      </c>
      <c r="H4" s="1"/>
      <c r="I4" s="1"/>
      <c r="J4" s="1"/>
    </row>
    <row r="5" spans="1:10">
      <c r="A5" s="1" t="s">
        <v>71</v>
      </c>
      <c r="B5" s="10">
        <f>'04_Воронка'!C10</f>
        <v>6.5550000000000001E-3</v>
      </c>
      <c r="C5" s="10">
        <f>'04_Воронка'!C11</f>
        <v>121.14</v>
      </c>
      <c r="D5" s="10">
        <f>'01_Параметры'!F18</f>
        <v>1.2</v>
      </c>
      <c r="E5" s="10">
        <f>B5*C5*D5*12</f>
        <v>11.434646879999999</v>
      </c>
      <c r="F5" s="10">
        <f>C5*D5</f>
        <v>145.36799999999999</v>
      </c>
      <c r="G5" s="3" t="s">
        <v>281</v>
      </c>
      <c r="H5" s="1"/>
      <c r="I5" s="1"/>
      <c r="J5" s="1"/>
    </row>
    <row r="6" spans="1:10">
      <c r="A6" s="1" t="s">
        <v>72</v>
      </c>
      <c r="B6" s="10">
        <f>'04_Воронка'!D10</f>
        <v>2.622E-2</v>
      </c>
      <c r="C6" s="10">
        <f>'04_Воронка'!D11</f>
        <v>290.74</v>
      </c>
      <c r="D6" s="10">
        <f>'01_Параметры'!F19</f>
        <v>1.5</v>
      </c>
      <c r="E6" s="10">
        <f>B6*C6*D6*12</f>
        <v>137.2176504</v>
      </c>
      <c r="F6" s="10">
        <f>C6*D6</f>
        <v>436.11</v>
      </c>
      <c r="G6" s="3" t="s">
        <v>282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114</v>
      </c>
      <c r="B8" s="13" t="s">
        <v>70</v>
      </c>
      <c r="C8" s="13" t="s">
        <v>71</v>
      </c>
      <c r="D8" s="13" t="s">
        <v>72</v>
      </c>
      <c r="E8" s="12"/>
      <c r="F8" s="12"/>
      <c r="G8" s="1"/>
      <c r="H8" s="1"/>
      <c r="I8" s="1"/>
      <c r="J8" s="1"/>
    </row>
    <row r="9" spans="1:10">
      <c r="A9" s="1" t="s">
        <v>144</v>
      </c>
      <c r="B9" s="10">
        <f>'04_Воронка'!B13</f>
        <v>1.7151970319999998</v>
      </c>
      <c r="C9" s="10">
        <f>'04_Воронка'!C13</f>
        <v>9.5288723999999991</v>
      </c>
      <c r="D9" s="10">
        <f>'04_Воронка'!D13</f>
        <v>91.478433600000002</v>
      </c>
      <c r="E9" s="12"/>
      <c r="F9" s="12"/>
      <c r="G9" s="1"/>
      <c r="H9" s="1"/>
      <c r="I9" s="1"/>
      <c r="J9" s="1"/>
    </row>
    <row r="10" spans="1:10">
      <c r="A10" s="1" t="s">
        <v>142</v>
      </c>
      <c r="B10" s="10">
        <f>E4</f>
        <v>1.7151970319999998</v>
      </c>
      <c r="C10" s="10">
        <f>E5</f>
        <v>11.434646879999999</v>
      </c>
      <c r="D10" s="10">
        <f>E6</f>
        <v>137.2176504</v>
      </c>
      <c r="E10" s="12"/>
      <c r="F10" s="12"/>
      <c r="G10" s="1"/>
      <c r="H10" s="1"/>
      <c r="I10" s="1"/>
      <c r="J1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workbookViewId="0"/>
  </sheetViews>
  <sheetFormatPr defaultRowHeight="14.25"/>
  <cols>
    <col min="1" max="1" width="52.625" customWidth="1"/>
    <col min="2" max="5" width="20" customWidth="1"/>
    <col min="6" max="6" width="30.625" customWidth="1"/>
    <col min="7" max="7" width="55.625" customWidth="1"/>
    <col min="8" max="10" width="28" customWidth="1"/>
  </cols>
  <sheetData>
    <row r="1" spans="1:10" ht="18">
      <c r="A1" s="18" t="s">
        <v>145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34</v>
      </c>
      <c r="B3" s="2" t="s">
        <v>70</v>
      </c>
      <c r="C3" s="2" t="s">
        <v>71</v>
      </c>
      <c r="D3" s="2" t="s">
        <v>72</v>
      </c>
      <c r="E3" s="2" t="s">
        <v>35</v>
      </c>
      <c r="F3" s="2" t="s">
        <v>36</v>
      </c>
      <c r="G3" s="2" t="s">
        <v>24</v>
      </c>
      <c r="H3" s="2" t="s">
        <v>146</v>
      </c>
      <c r="I3" s="1"/>
      <c r="J3" s="1"/>
    </row>
    <row r="4" spans="1:10" ht="28.5">
      <c r="A4" s="1" t="s">
        <v>147</v>
      </c>
      <c r="B4" s="6">
        <v>0</v>
      </c>
      <c r="C4" s="6">
        <v>0</v>
      </c>
      <c r="D4" s="6">
        <v>0</v>
      </c>
      <c r="E4" s="1" t="s">
        <v>148</v>
      </c>
      <c r="F4" s="1" t="s">
        <v>149</v>
      </c>
      <c r="G4" s="1" t="s">
        <v>283</v>
      </c>
      <c r="H4" s="1" t="s">
        <v>41</v>
      </c>
      <c r="I4" s="1"/>
      <c r="J4" s="1"/>
    </row>
    <row r="5" spans="1:10">
      <c r="A5" s="1" t="s">
        <v>150</v>
      </c>
      <c r="B5" s="6">
        <v>0</v>
      </c>
      <c r="C5" s="6">
        <v>0</v>
      </c>
      <c r="D5" s="6">
        <v>0</v>
      </c>
      <c r="E5" s="1" t="s">
        <v>51</v>
      </c>
      <c r="F5" s="1" t="s">
        <v>151</v>
      </c>
      <c r="G5" s="1" t="s">
        <v>284</v>
      </c>
      <c r="H5" s="1" t="s">
        <v>41</v>
      </c>
      <c r="I5" s="1"/>
      <c r="J5" s="1"/>
    </row>
    <row r="6" spans="1:10">
      <c r="A6" s="1" t="s">
        <v>152</v>
      </c>
      <c r="B6" s="10">
        <f>B4*B5</f>
        <v>0</v>
      </c>
      <c r="C6" s="10">
        <f>C4*C5</f>
        <v>0</v>
      </c>
      <c r="D6" s="10">
        <f>D4*D5</f>
        <v>0</v>
      </c>
      <c r="E6" s="1" t="s">
        <v>51</v>
      </c>
      <c r="F6" s="1" t="s">
        <v>153</v>
      </c>
      <c r="G6" s="1" t="s">
        <v>285</v>
      </c>
      <c r="H6" s="1" t="s">
        <v>153</v>
      </c>
      <c r="I6" s="1"/>
      <c r="J6" s="1"/>
    </row>
    <row r="7" spans="1:10">
      <c r="A7" s="1" t="s">
        <v>154</v>
      </c>
      <c r="B7" s="7">
        <v>0</v>
      </c>
      <c r="C7" s="7">
        <v>0</v>
      </c>
      <c r="D7" s="7">
        <v>0</v>
      </c>
      <c r="E7" s="1" t="s">
        <v>60</v>
      </c>
      <c r="F7" s="1" t="s">
        <v>155</v>
      </c>
      <c r="G7" s="1" t="s">
        <v>284</v>
      </c>
      <c r="H7" s="1" t="s">
        <v>41</v>
      </c>
      <c r="I7" s="1"/>
      <c r="J7" s="1"/>
    </row>
    <row r="8" spans="1:10">
      <c r="A8" s="1" t="s">
        <v>156</v>
      </c>
      <c r="B8" s="10">
        <f>B6*B7</f>
        <v>0</v>
      </c>
      <c r="C8" s="10">
        <f>C6*C7</f>
        <v>0</v>
      </c>
      <c r="D8" s="10">
        <f>D6*D7</f>
        <v>0</v>
      </c>
      <c r="E8" s="1" t="s">
        <v>51</v>
      </c>
      <c r="F8" s="1" t="s">
        <v>153</v>
      </c>
      <c r="G8" s="1" t="s">
        <v>286</v>
      </c>
      <c r="H8" s="1" t="s">
        <v>153</v>
      </c>
      <c r="I8" s="1"/>
      <c r="J8" s="1"/>
    </row>
    <row r="9" spans="1:10">
      <c r="A9" s="1" t="s">
        <v>157</v>
      </c>
      <c r="B9" s="10">
        <f>B8*12</f>
        <v>0</v>
      </c>
      <c r="C9" s="10">
        <f>C8*12</f>
        <v>0</v>
      </c>
      <c r="D9" s="10">
        <f>D8*12</f>
        <v>0</v>
      </c>
      <c r="E9" s="1" t="s">
        <v>51</v>
      </c>
      <c r="F9" s="1" t="s">
        <v>153</v>
      </c>
      <c r="G9" s="1" t="s">
        <v>287</v>
      </c>
      <c r="H9" s="1" t="s">
        <v>153</v>
      </c>
      <c r="I9" s="1"/>
      <c r="J9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8" t="s">
        <v>158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159</v>
      </c>
      <c r="B3" s="2" t="s">
        <v>22</v>
      </c>
      <c r="C3" s="2" t="s">
        <v>35</v>
      </c>
      <c r="D3" s="2" t="s">
        <v>24</v>
      </c>
      <c r="E3" s="1"/>
      <c r="F3" s="1"/>
      <c r="G3" s="1"/>
      <c r="H3" s="1"/>
      <c r="I3" s="1"/>
      <c r="J3" s="1"/>
    </row>
    <row r="4" spans="1:10" ht="28.5">
      <c r="A4" s="1" t="s">
        <v>102</v>
      </c>
      <c r="B4" s="10">
        <f>'02_Трафик_охват'!C14</f>
        <v>26.22</v>
      </c>
      <c r="C4" s="1" t="s">
        <v>100</v>
      </c>
      <c r="D4" s="1" t="s">
        <v>288</v>
      </c>
      <c r="E4" s="1"/>
      <c r="F4" s="1"/>
      <c r="G4" s="1"/>
      <c r="H4" s="1"/>
      <c r="I4" s="1"/>
      <c r="J4" s="1"/>
    </row>
    <row r="5" spans="1:10" ht="28.5">
      <c r="A5" s="1" t="s">
        <v>104</v>
      </c>
      <c r="B5" s="10">
        <f>'02_Трафик_охват'!C15</f>
        <v>314.64</v>
      </c>
      <c r="C5" s="1" t="s">
        <v>100</v>
      </c>
      <c r="D5" s="1" t="s">
        <v>289</v>
      </c>
      <c r="E5" s="1"/>
      <c r="F5" s="1"/>
      <c r="G5" s="1"/>
      <c r="H5" s="1"/>
      <c r="I5" s="1"/>
      <c r="J5" s="1"/>
    </row>
    <row r="6" spans="1:10" ht="57">
      <c r="A6" s="1" t="s">
        <v>160</v>
      </c>
      <c r="B6" s="10">
        <f>'03_Конкуренты_SW'!C12</f>
        <v>10433.127692307693</v>
      </c>
      <c r="C6" s="1" t="s">
        <v>290</v>
      </c>
      <c r="D6" s="1" t="s">
        <v>291</v>
      </c>
      <c r="E6" s="1"/>
      <c r="F6" s="1"/>
      <c r="G6" s="1"/>
      <c r="H6" s="1"/>
      <c r="I6" s="1"/>
      <c r="J6" s="1"/>
    </row>
    <row r="7" spans="1:10" ht="28.5">
      <c r="A7" s="1" t="s">
        <v>205</v>
      </c>
      <c r="B7" s="10">
        <f>'05_Сценарии'!C9</f>
        <v>1.7151970319999998</v>
      </c>
      <c r="C7" s="1" t="s">
        <v>161</v>
      </c>
      <c r="D7" s="1" t="s">
        <v>292</v>
      </c>
      <c r="E7" s="1"/>
      <c r="F7" s="1"/>
      <c r="G7" s="1"/>
      <c r="H7" s="1"/>
      <c r="I7" s="1"/>
      <c r="J7" s="1"/>
    </row>
    <row r="8" spans="1:10" ht="28.5">
      <c r="A8" s="1" t="s">
        <v>206</v>
      </c>
      <c r="B8" s="10">
        <f>'05_Сценарии'!C10</f>
        <v>9.5288723999999991</v>
      </c>
      <c r="C8" s="1" t="s">
        <v>161</v>
      </c>
      <c r="D8" s="1" t="s">
        <v>293</v>
      </c>
      <c r="E8" s="1"/>
      <c r="F8" s="1"/>
      <c r="G8" s="1"/>
      <c r="H8" s="1"/>
      <c r="I8" s="1"/>
      <c r="J8" s="1"/>
    </row>
    <row r="9" spans="1:10" ht="28.5">
      <c r="A9" s="1" t="s">
        <v>207</v>
      </c>
      <c r="B9" s="10">
        <f>'05_Сценарии'!C11</f>
        <v>91.478433600000002</v>
      </c>
      <c r="C9" s="1" t="s">
        <v>161</v>
      </c>
      <c r="D9" s="1" t="s">
        <v>294</v>
      </c>
      <c r="E9" s="1"/>
      <c r="F9" s="1"/>
      <c r="G9" s="1"/>
      <c r="H9" s="1"/>
      <c r="I9" s="1"/>
      <c r="J9" s="1"/>
    </row>
    <row r="10" spans="1:10" ht="42.75">
      <c r="A10" s="1" t="s">
        <v>208</v>
      </c>
      <c r="B10" s="10">
        <f>'06_Повторы_LTV'!C10</f>
        <v>11.434646879999999</v>
      </c>
      <c r="C10" s="1" t="s">
        <v>161</v>
      </c>
      <c r="D10" s="1" t="s">
        <v>295</v>
      </c>
      <c r="E10" s="1"/>
      <c r="F10" s="1"/>
      <c r="G10" s="1"/>
      <c r="H10" s="1"/>
      <c r="I10" s="1"/>
      <c r="J10" s="1"/>
    </row>
    <row r="11" spans="1:10" ht="42.75">
      <c r="A11" s="1" t="s">
        <v>209</v>
      </c>
      <c r="B11" s="10">
        <f>'07_Платформа_GMV'!C6*12</f>
        <v>0</v>
      </c>
      <c r="C11" s="1" t="s">
        <v>161</v>
      </c>
      <c r="D11" s="1" t="s">
        <v>296</v>
      </c>
      <c r="E11" s="1"/>
      <c r="F11" s="1"/>
      <c r="G11" s="1"/>
      <c r="H11" s="1"/>
      <c r="I11" s="1"/>
      <c r="J11" s="1"/>
    </row>
    <row r="12" spans="1:10" ht="42.75">
      <c r="A12" s="1" t="s">
        <v>210</v>
      </c>
      <c r="B12" s="10">
        <f>'07_Платформа_GMV'!C9</f>
        <v>0</v>
      </c>
      <c r="C12" s="1" t="s">
        <v>161</v>
      </c>
      <c r="D12" s="1" t="s">
        <v>297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0">
      <c r="A14" s="2" t="s">
        <v>162</v>
      </c>
      <c r="B14" s="2"/>
      <c r="C14" s="2"/>
      <c r="D14" s="2"/>
      <c r="E14" s="2"/>
      <c r="F14" s="2"/>
      <c r="G14" s="2"/>
      <c r="H14" s="2"/>
      <c r="I14" s="1"/>
      <c r="J14" s="1"/>
    </row>
    <row r="15" spans="1:10">
      <c r="A15" s="19" t="s">
        <v>298</v>
      </c>
      <c r="B15" s="19"/>
      <c r="C15" s="19"/>
      <c r="D15" s="19"/>
      <c r="E15" s="19"/>
      <c r="F15" s="19"/>
      <c r="G15" s="19"/>
      <c r="H15" s="19"/>
      <c r="I15" s="1"/>
      <c r="J15" s="1"/>
    </row>
  </sheetData>
  <mergeCells count="2">
    <mergeCell ref="A1:H1"/>
    <mergeCell ref="A15:H15"/>
  </mergeCells>
  <conditionalFormatting sqref="B7:B9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{FAFA9BD4-6985-3A1D-CF9D-89DEBE1B72A5}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A9BD4-6985-3A1D-CF9D-89DEBE1B72A5}">
            <x14:dataBar>
              <x14:cfvo type="min"/>
              <x14:cfvo type="max"/>
              <x14:negativeFillColor auto="1"/>
              <x14:axisColor auto="1"/>
            </x14:dataBar>
          </x14:cfRule>
          <xm:sqref>B7:B9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/>
  </sheetViews>
  <sheetFormatPr defaultRowHeight="14.25"/>
  <cols>
    <col min="1" max="1" width="40.625" customWidth="1"/>
    <col min="2" max="2" width="46.625" customWidth="1"/>
    <col min="3" max="3" width="55.625" customWidth="1"/>
    <col min="4" max="5" width="20" customWidth="1"/>
    <col min="6" max="6" width="55.625" customWidth="1"/>
    <col min="7" max="7" width="24" customWidth="1"/>
    <col min="8" max="10" width="28" customWidth="1"/>
  </cols>
  <sheetData>
    <row r="1" spans="1:10" ht="18">
      <c r="A1" s="18" t="s">
        <v>163</v>
      </c>
      <c r="B1" s="18"/>
      <c r="C1" s="18"/>
      <c r="D1" s="18"/>
      <c r="E1" s="18"/>
      <c r="F1" s="18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164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24</v>
      </c>
      <c r="G3" s="1"/>
      <c r="H3" s="1"/>
      <c r="I3" s="1"/>
      <c r="J3" s="1"/>
    </row>
    <row r="4" spans="1:10">
      <c r="A4" s="1" t="s">
        <v>169</v>
      </c>
      <c r="B4" s="1" t="s">
        <v>170</v>
      </c>
      <c r="C4" s="1" t="s">
        <v>308</v>
      </c>
      <c r="D4" s="16" t="s">
        <v>211</v>
      </c>
      <c r="E4" s="1" t="s">
        <v>171</v>
      </c>
      <c r="F4" s="1" t="s">
        <v>299</v>
      </c>
      <c r="G4" s="1"/>
      <c r="H4" s="1"/>
      <c r="I4" s="1"/>
      <c r="J4" s="1"/>
    </row>
    <row r="5" spans="1:10">
      <c r="A5" s="1" t="s">
        <v>172</v>
      </c>
      <c r="B5" s="1" t="s">
        <v>173</v>
      </c>
      <c r="C5" s="1" t="s">
        <v>306</v>
      </c>
      <c r="D5" s="16" t="s">
        <v>211</v>
      </c>
      <c r="E5" s="1" t="s">
        <v>171</v>
      </c>
      <c r="F5" s="1" t="s">
        <v>300</v>
      </c>
      <c r="G5" s="1"/>
      <c r="H5" s="1"/>
      <c r="I5" s="1"/>
      <c r="J5" s="1"/>
    </row>
    <row r="6" spans="1:10">
      <c r="A6" s="1" t="s">
        <v>174</v>
      </c>
      <c r="B6" s="1" t="s">
        <v>175</v>
      </c>
      <c r="C6" s="1" t="s">
        <v>176</v>
      </c>
      <c r="D6" s="16" t="s">
        <v>211</v>
      </c>
      <c r="E6" s="1" t="s">
        <v>83</v>
      </c>
      <c r="F6" s="1" t="s">
        <v>301</v>
      </c>
      <c r="G6" s="1"/>
      <c r="H6" s="1"/>
      <c r="I6" s="1"/>
      <c r="J6" s="1"/>
    </row>
    <row r="7" spans="1:10">
      <c r="A7" s="1" t="s">
        <v>177</v>
      </c>
      <c r="B7" s="1" t="s">
        <v>178</v>
      </c>
      <c r="C7" s="1" t="s">
        <v>179</v>
      </c>
      <c r="D7" s="16" t="s">
        <v>211</v>
      </c>
      <c r="E7" s="1" t="s">
        <v>83</v>
      </c>
      <c r="F7" s="1" t="s">
        <v>302</v>
      </c>
      <c r="G7" s="1"/>
      <c r="H7" s="1"/>
      <c r="I7" s="1"/>
      <c r="J7" s="1"/>
    </row>
    <row r="8" spans="1:10" ht="42.75">
      <c r="A8" s="1" t="s">
        <v>180</v>
      </c>
      <c r="B8" s="1" t="s">
        <v>181</v>
      </c>
      <c r="C8" s="1" t="s">
        <v>316</v>
      </c>
      <c r="D8" s="16" t="s">
        <v>211</v>
      </c>
      <c r="E8" s="1" t="s">
        <v>83</v>
      </c>
      <c r="F8" s="1" t="s">
        <v>303</v>
      </c>
      <c r="G8" s="1"/>
      <c r="H8" s="1"/>
      <c r="I8" s="1"/>
      <c r="J8" s="1"/>
    </row>
    <row r="9" spans="1:10">
      <c r="A9" s="1" t="s">
        <v>182</v>
      </c>
      <c r="B9" s="1" t="s">
        <v>183</v>
      </c>
      <c r="C9" s="4" t="s">
        <v>307</v>
      </c>
      <c r="D9" s="17" t="s">
        <v>211</v>
      </c>
      <c r="E9" s="1" t="s">
        <v>83</v>
      </c>
      <c r="F9" s="1" t="s">
        <v>304</v>
      </c>
      <c r="G9" s="1"/>
      <c r="H9" s="1"/>
      <c r="I9" s="1"/>
      <c r="J9" s="1"/>
    </row>
    <row r="10" spans="1:10" ht="28.5">
      <c r="A10" s="1" t="s">
        <v>184</v>
      </c>
      <c r="B10" s="1" t="s">
        <v>185</v>
      </c>
      <c r="C10" s="4" t="s">
        <v>200</v>
      </c>
      <c r="D10" s="17" t="s">
        <v>211</v>
      </c>
      <c r="E10" s="1" t="s">
        <v>83</v>
      </c>
      <c r="F10" s="1" t="s">
        <v>305</v>
      </c>
      <c r="G10" s="1"/>
      <c r="H10" s="1"/>
      <c r="I10" s="1"/>
      <c r="J10" s="1"/>
    </row>
  </sheetData>
  <mergeCells count="1">
    <mergeCell ref="A1:F1"/>
  </mergeCells>
  <dataValidations count="1">
    <dataValidation type="list" sqref="E4:E10" xr:uid="{00000000-0002-0000-09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02_Трафик_охват</vt:lpstr>
      <vt:lpstr>03_Конкуренты_SW</vt:lpstr>
      <vt:lpstr>04_Воронка</vt:lpstr>
      <vt:lpstr>05_Сценарии</vt:lpstr>
      <vt:lpstr>06_Повторы_LTV</vt:lpstr>
      <vt:lpstr>07_Платформа_GMV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2026-10-04T16:53:24Z</dcterms:created>
  <dcterms:modified xsi:type="dcterms:W3CDTF">2026-10-04T19:30:05Z</dcterms:modified>
</cp:coreProperties>
</file>