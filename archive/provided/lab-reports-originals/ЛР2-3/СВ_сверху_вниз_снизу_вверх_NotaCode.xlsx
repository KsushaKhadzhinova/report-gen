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C12A63C4-A9AE-4677-9F72-1A43FAEAD5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верху_вниз" sheetId="3" r:id="rId3"/>
    <sheet name="03_Снизу_вверх" sheetId="4" r:id="rId4"/>
    <sheet name="04_Similarweb" sheetId="5" r:id="rId5"/>
    <sheet name="05_Воронка_SW" sheetId="6" r:id="rId6"/>
    <sheet name="06_Сверка" sheetId="7" r:id="rId7"/>
    <sheet name="07_Дашборд" sheetId="8" r:id="rId8"/>
    <sheet name="08_Источники" sheetId="9" r:id="rId9"/>
  </sheets>
  <calcPr calcId="191029" refMode="R1C1"/>
</workbook>
</file>

<file path=xl/calcChain.xml><?xml version="1.0" encoding="utf-8"?>
<calcChain xmlns="http://schemas.openxmlformats.org/spreadsheetml/2006/main">
  <c r="E15" i="8" l="1"/>
  <c r="E14" i="8"/>
  <c r="E13" i="8"/>
  <c r="E12" i="8"/>
  <c r="E11" i="8"/>
  <c r="D13" i="6"/>
  <c r="C13" i="6"/>
  <c r="B13" i="6"/>
  <c r="D12" i="6"/>
  <c r="C12" i="6"/>
  <c r="B12" i="6"/>
  <c r="D10" i="6"/>
  <c r="C10" i="6"/>
  <c r="B10" i="6"/>
  <c r="D8" i="6"/>
  <c r="C8" i="6"/>
  <c r="B8" i="6"/>
  <c r="D6" i="6"/>
  <c r="C6" i="6"/>
  <c r="B6" i="6"/>
  <c r="C15" i="5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B11" i="4"/>
  <c r="G10" i="4"/>
  <c r="G9" i="4"/>
  <c r="G8" i="4"/>
  <c r="G7" i="4"/>
  <c r="G6" i="4"/>
  <c r="G5" i="4"/>
  <c r="D11" i="3"/>
  <c r="C11" i="3"/>
  <c r="B11" i="3"/>
  <c r="D10" i="3"/>
  <c r="C10" i="3"/>
  <c r="B10" i="3"/>
  <c r="H5" i="4" l="1"/>
  <c r="I5" i="5"/>
  <c r="J12" i="5" s="1"/>
  <c r="H15" i="5"/>
  <c r="H10" i="4"/>
  <c r="H7" i="4"/>
  <c r="H6" i="4"/>
  <c r="H8" i="4"/>
  <c r="D12" i="3"/>
  <c r="D5" i="7" s="1"/>
  <c r="H5" i="8" s="1"/>
  <c r="C12" i="3"/>
  <c r="C5" i="7" s="1"/>
  <c r="G5" i="8" s="1"/>
  <c r="B12" i="3"/>
  <c r="B5" i="7" s="1"/>
  <c r="F5" i="8" s="1"/>
  <c r="H9" i="4"/>
  <c r="G11" i="4"/>
  <c r="J5" i="5" l="1"/>
  <c r="I15" i="5"/>
  <c r="J11" i="5"/>
  <c r="J8" i="5"/>
  <c r="F14" i="8" s="1"/>
  <c r="J6" i="5"/>
  <c r="F12" i="8" s="1"/>
  <c r="J14" i="5"/>
  <c r="J10" i="5"/>
  <c r="J7" i="5"/>
  <c r="F13" i="8" s="1"/>
  <c r="J9" i="5"/>
  <c r="F15" i="8" s="1"/>
  <c r="J13" i="5"/>
  <c r="H11" i="4"/>
  <c r="B6" i="7"/>
  <c r="C6" i="7"/>
  <c r="D6" i="7"/>
  <c r="B9" i="8"/>
  <c r="J15" i="5" l="1"/>
  <c r="F11" i="8"/>
  <c r="B8" i="8"/>
  <c r="B5" i="6"/>
  <c r="B7" i="6" s="1"/>
  <c r="B9" i="6" s="1"/>
  <c r="B11" i="6" s="1"/>
  <c r="B14" i="6" s="1"/>
  <c r="B7" i="7" s="1"/>
  <c r="C5" i="6"/>
  <c r="C7" i="6" s="1"/>
  <c r="C9" i="6" s="1"/>
  <c r="C11" i="6" s="1"/>
  <c r="C14" i="6" s="1"/>
  <c r="D5" i="6"/>
  <c r="D7" i="6" s="1"/>
  <c r="D9" i="6" s="1"/>
  <c r="D11" i="6" s="1"/>
  <c r="D14" i="6" s="1"/>
  <c r="D7" i="7" s="1"/>
  <c r="F6" i="8"/>
  <c r="G6" i="8"/>
  <c r="H6" i="8"/>
  <c r="D9" i="7" l="1"/>
  <c r="D10" i="7"/>
  <c r="B7" i="8" s="1"/>
  <c r="H7" i="8"/>
  <c r="D8" i="7"/>
  <c r="F7" i="8"/>
  <c r="B8" i="7"/>
  <c r="B5" i="8" s="1"/>
  <c r="B9" i="7"/>
  <c r="B10" i="7"/>
  <c r="C7" i="7"/>
  <c r="B10" i="8"/>
  <c r="C9" i="7" l="1"/>
  <c r="B6" i="8" s="1"/>
  <c r="G7" i="8"/>
  <c r="C10" i="7"/>
  <c r="C8" i="7"/>
</calcChain>
</file>

<file path=xl/sharedStrings.xml><?xml version="1.0" encoding="utf-8"?>
<sst xmlns="http://schemas.openxmlformats.org/spreadsheetml/2006/main" count="351" uniqueCount="266">
  <si>
    <t>Методика оценки объема рынка электронного бизнеса</t>
  </si>
  <si>
    <t>Excel-шаблон для подходов «сверху вниз» и «снизу вверх» с использованием Similarweb</t>
  </si>
  <si>
    <t>Назначение</t>
  </si>
  <si>
    <t>Принцип</t>
  </si>
  <si>
    <t>Similarweb</t>
  </si>
  <si>
    <t>Ограничение</t>
  </si>
  <si>
    <t>Итог</t>
  </si>
  <si>
    <t>Шаг</t>
  </si>
  <si>
    <t>Действие</t>
  </si>
  <si>
    <t>Результат</t>
  </si>
  <si>
    <t>Зафиксировать продуктовые и географические границы рынка</t>
  </si>
  <si>
    <t>Понятно, какой рынок измеряется</t>
  </si>
  <si>
    <t>Ввести исходные параметры и допущения</t>
  </si>
  <si>
    <t>Задана база расчетов</t>
  </si>
  <si>
    <t>Рассчитать объем рынка методом «сверху вниз»</t>
  </si>
  <si>
    <t>Получен общий ориентир масштаба</t>
  </si>
  <si>
    <t>Рассчитать объем рынка методом «снизу вверх»</t>
  </si>
  <si>
    <t>Получен расчет через клиентские сегменты</t>
  </si>
  <si>
    <t>Внести доступные данные Similarweb</t>
  </si>
  <si>
    <t>Проверена цифровая активность конкурентов</t>
  </si>
  <si>
    <t>Построить воронку Similarweb</t>
  </si>
  <si>
    <t>Получена оценка денежного объема через трафик</t>
  </si>
  <si>
    <t>Сравнить методы</t>
  </si>
  <si>
    <t>Сформирован итоговый диапазон</t>
  </si>
  <si>
    <t>Описать ограничения</t>
  </si>
  <si>
    <t>Подготовлен корректный управленческий вывод</t>
  </si>
  <si>
    <t>Исходные параметры</t>
  </si>
  <si>
    <t>Параметр</t>
  </si>
  <si>
    <t>Значение</t>
  </si>
  <si>
    <t>Единица</t>
  </si>
  <si>
    <t>Комментарий</t>
  </si>
  <si>
    <t>Тип</t>
  </si>
  <si>
    <t>Название рынка</t>
  </si>
  <si>
    <t>Описание рынка</t>
  </si>
  <si>
    <t>Заменить на свою идею</t>
  </si>
  <si>
    <t>Ввод</t>
  </si>
  <si>
    <t>География</t>
  </si>
  <si>
    <t>Республика Беларусь</t>
  </si>
  <si>
    <t>Территория анализа</t>
  </si>
  <si>
    <t>Заменить при необходимости</t>
  </si>
  <si>
    <t>Валюта</t>
  </si>
  <si>
    <t>BYN</t>
  </si>
  <si>
    <t>Валюта расчетов</t>
  </si>
  <si>
    <t>Можно заменить</t>
  </si>
  <si>
    <t>Средний годовой чек</t>
  </si>
  <si>
    <t>BYN/клиент/год</t>
  </si>
  <si>
    <t>Денежный расчет рынка услуг</t>
  </si>
  <si>
    <t>Среднее число покупок в год</t>
  </si>
  <si>
    <t>раз</t>
  </si>
  <si>
    <t>Для товарных и сервисных моделей</t>
  </si>
  <si>
    <t>Допущение</t>
  </si>
  <si>
    <t>Конверсия визита в заявку</t>
  </si>
  <si>
    <t>доля</t>
  </si>
  <si>
    <t>Воронка Similarweb</t>
  </si>
  <si>
    <t>Заменить реальными данными</t>
  </si>
  <si>
    <t>Конверсия заявки в продажу</t>
  </si>
  <si>
    <t>Коэффициент повторных продаж</t>
  </si>
  <si>
    <t>Уточнение годовой выручки</t>
  </si>
  <si>
    <t>Корректировка на неполную выборку конкурентов</t>
  </si>
  <si>
    <t>коэффициент</t>
  </si>
  <si>
    <t>Учитывает конкурентов вне выборки</t>
  </si>
  <si>
    <t>Осторожный сценарий</t>
  </si>
  <si>
    <t>Понижающий коэффициент</t>
  </si>
  <si>
    <t>Риски низкой конверсии</t>
  </si>
  <si>
    <t>Сценарий</t>
  </si>
  <si>
    <t>Базовый сценарий</t>
  </si>
  <si>
    <t>Базовый расчет</t>
  </si>
  <si>
    <t>Основной сценарий</t>
  </si>
  <si>
    <t>Оптимистичный сценарий</t>
  </si>
  <si>
    <t>Повышающий коэффициент</t>
  </si>
  <si>
    <t>Высокий спрос/лучшие конверсии</t>
  </si>
  <si>
    <t>Методика «сверху вниз»</t>
  </si>
  <si>
    <t>Показатель</t>
  </si>
  <si>
    <t>Осторожный</t>
  </si>
  <si>
    <t>Базовый</t>
  </si>
  <si>
    <t>Оптимистичный</t>
  </si>
  <si>
    <t>Источник / комментарий</t>
  </si>
  <si>
    <t>Общий ориентир: число потенциальных организаций/клиентов</t>
  </si>
  <si>
    <t>ед.</t>
  </si>
  <si>
    <t>Доля клиентов в продуктовых границах рынка</t>
  </si>
  <si>
    <t>Доля клиентов в выбранной географии</t>
  </si>
  <si>
    <t>Доля клиентов, доступных через цифровые каналы</t>
  </si>
  <si>
    <t>Доля клиентов с вероятной потребностью</t>
  </si>
  <si>
    <t>Подтягивается из параметров</t>
  </si>
  <si>
    <t>Формула</t>
  </si>
  <si>
    <t>Расчетное число клиентов рынка</t>
  </si>
  <si>
    <t>клиенты</t>
  </si>
  <si>
    <t>Сужение общего рынка до достижимой базы</t>
  </si>
  <si>
    <t>Оценка годового объема рынка</t>
  </si>
  <si>
    <t>BYN/год</t>
  </si>
  <si>
    <t>Клиенты × средний годовой чек</t>
  </si>
  <si>
    <t>Методика «снизу вверх»</t>
  </si>
  <si>
    <t>Сегмент клиентов</t>
  </si>
  <si>
    <t>Потенциальные клиенты</t>
  </si>
  <si>
    <t>Доля с потребностью</t>
  </si>
  <si>
    <t>Цифровая доступность</t>
  </si>
  <si>
    <t>Покупок/год</t>
  </si>
  <si>
    <t>Средний чек</t>
  </si>
  <si>
    <t>Годовой объем</t>
  </si>
  <si>
    <t>Доля сегмента</t>
  </si>
  <si>
    <t>Источник/комментарий</t>
  </si>
  <si>
    <t>Статус</t>
  </si>
  <si>
    <t>Заполнить</t>
  </si>
  <si>
    <t>Опционально</t>
  </si>
  <si>
    <t>ИТОГО</t>
  </si>
  <si>
    <t>Данные Similarweb по конкурентам</t>
  </si>
  <si>
    <t>Домен / сайт</t>
  </si>
  <si>
    <t>Тип конкурента</t>
  </si>
  <si>
    <t>Месячные визиты</t>
  </si>
  <si>
    <t>Доля целевой географии</t>
  </si>
  <si>
    <t>Доля релевантных каналов</t>
  </si>
  <si>
    <t>Коммерческая релевантность</t>
  </si>
  <si>
    <t>Коэффициент вовлеченности</t>
  </si>
  <si>
    <t>Релевантные визиты/год</t>
  </si>
  <si>
    <t>Доля трафика</t>
  </si>
  <si>
    <t>Источник данных</t>
  </si>
  <si>
    <t>Дата фиксации</t>
  </si>
  <si>
    <t>Прямой</t>
  </si>
  <si>
    <t>2026-05-02</t>
  </si>
  <si>
    <t>Заменитель</t>
  </si>
  <si>
    <t>Цифровая воронка на основе Similarweb</t>
  </si>
  <si>
    <t>Формула / источник</t>
  </si>
  <si>
    <t>Годовые релевантные визиты конкурентов</t>
  </si>
  <si>
    <t>визиты/год</t>
  </si>
  <si>
    <t>Сумма Similarweb × сценарный коэффициент</t>
  </si>
  <si>
    <t>Цифровой объем внимания</t>
  </si>
  <si>
    <t>Корректировка на неполную выборку</t>
  </si>
  <si>
    <t>Параметры</t>
  </si>
  <si>
    <t>Если внесены не все конкуренты</t>
  </si>
  <si>
    <t>Скорректированные релевантные визиты</t>
  </si>
  <si>
    <t>Визиты × корректировка</t>
  </si>
  <si>
    <t>Оценочный цифровой спрос</t>
  </si>
  <si>
    <t>Параметры и сценарий</t>
  </si>
  <si>
    <t>Оценочное число заявок</t>
  </si>
  <si>
    <t>заявки/год</t>
  </si>
  <si>
    <t>Визиты × конверсия в заявку</t>
  </si>
  <si>
    <t>Оценочное число продаж</t>
  </si>
  <si>
    <t>продажи/год</t>
  </si>
  <si>
    <t>Заявки × конверсия в продажу</t>
  </si>
  <si>
    <t>Оценка годового объема рынка по Similarweb</t>
  </si>
  <si>
    <t>Продажи × чек × повторность</t>
  </si>
  <si>
    <t>Оценочный диапазон</t>
  </si>
  <si>
    <t>Сверка расчетных подходов</t>
  </si>
  <si>
    <t>Метод оценки</t>
  </si>
  <si>
    <t>Надежность</t>
  </si>
  <si>
    <t>Что проверяет</t>
  </si>
  <si>
    <t>Сверху вниз</t>
  </si>
  <si>
    <t>Макро-ориентир через общий рынок и коэффициенты сужения</t>
  </si>
  <si>
    <t>Средняя</t>
  </si>
  <si>
    <t>Масштаб рынка</t>
  </si>
  <si>
    <t>Риск завышения</t>
  </si>
  <si>
    <t>Снизу вверх</t>
  </si>
  <si>
    <t>Расчет через клиентские сегменты</t>
  </si>
  <si>
    <t>Высокая при хороших данных</t>
  </si>
  <si>
    <t>Реалистичность сегментов</t>
  </si>
  <si>
    <t>Зависит от качества допущений</t>
  </si>
  <si>
    <t>Similarweb + воронка</t>
  </si>
  <si>
    <t>Проверка через цифровой трафик конкурентов</t>
  </si>
  <si>
    <t>Цифровой спрос</t>
  </si>
  <si>
    <t>Трафик не равен выручке</t>
  </si>
  <si>
    <t>Минимум по методам</t>
  </si>
  <si>
    <t>Нижняя граница оценки</t>
  </si>
  <si>
    <t>Среднее по методам</t>
  </si>
  <si>
    <t>Центральный ориентир</t>
  </si>
  <si>
    <t>Максимум по методам</t>
  </si>
  <si>
    <t>Верхняя граница оценки</t>
  </si>
  <si>
    <t>Панель итоговой оценки</t>
  </si>
  <si>
    <t>Метод</t>
  </si>
  <si>
    <t>Итоговая нижняя оценка рынка</t>
  </si>
  <si>
    <t>Минимум по трем подходам, осторожный сценарий</t>
  </si>
  <si>
    <t>Итоговая базовая оценка рынка</t>
  </si>
  <si>
    <t>Среднее по трем подходам, базовый сценарий</t>
  </si>
  <si>
    <t>Итоговая верхняя оценка рынка</t>
  </si>
  <si>
    <t>Максимум по трем подходам, оптимистичный сценарий</t>
  </si>
  <si>
    <t>Годовой релевантный трафик конкурентов</t>
  </si>
  <si>
    <t>Сумма релевантных визитов в год</t>
  </si>
  <si>
    <t>Суммарный объем по методу снизу вверх</t>
  </si>
  <si>
    <t>Расчет по клиентским сегментам</t>
  </si>
  <si>
    <t>Объем по Similarweb-воронке, базовый</t>
  </si>
  <si>
    <t>Цифровая проверка через трафик и конверсии</t>
  </si>
  <si>
    <t>Конкурент</t>
  </si>
  <si>
    <t>Доля релевантного трафика</t>
  </si>
  <si>
    <t>Источники данных и журнал фиксации</t>
  </si>
  <si>
    <t>Группа данных</t>
  </si>
  <si>
    <t>Источник</t>
  </si>
  <si>
    <t>URL</t>
  </si>
  <si>
    <t>Дата обращения</t>
  </si>
  <si>
    <t>Что переносится в Excel</t>
  </si>
  <si>
    <t>Similarweb Website Analysis</t>
  </si>
  <si>
    <t>https://www.similarweb.com/website/</t>
  </si>
  <si>
    <t>Месячные визиты, каналы, география, похожие сайты</t>
  </si>
  <si>
    <t>Оценочные данные; для малых сайтов надежность ниже</t>
  </si>
  <si>
    <t>Заменить URL конкурентов</t>
  </si>
  <si>
    <t>Методология данных</t>
  </si>
  <si>
    <t>Similarweb Data Methodology</t>
  </si>
  <si>
    <t>https://support.similarweb.com/hc/en-us/articles/360001631538-Similarweb-Data-Methodology</t>
  </si>
  <si>
    <t>Обоснование природы оценочных данных</t>
  </si>
  <si>
    <t>Не является прямым измерением выручки</t>
  </si>
  <si>
    <t>Справочно</t>
  </si>
  <si>
    <t>Data Exporter</t>
  </si>
  <si>
    <t>Similarweb Help Center</t>
  </si>
  <si>
    <t>https://support.similarweb.com/hc/en-us/articles/13252032019101-Data-Exporter</t>
  </si>
  <si>
    <t>Возможности экспорта при соответствующем доступе</t>
  </si>
  <si>
    <t>Зависит от подписки и единиц извлечения данных</t>
  </si>
  <si>
    <t>Официальная статистика</t>
  </si>
  <si>
    <t>Количество организаций/клиентов</t>
  </si>
  <si>
    <t>Национальная статистика / реестры / отраслевые отчеты</t>
  </si>
  <si>
    <t>Общий ориентир для расчета сверху вниз</t>
  </si>
  <si>
    <t>Нужно подбирать под страну и отрасль</t>
  </si>
  <si>
    <t>Конкуренты</t>
  </si>
  <si>
    <t>Средний чек, тарифы, предложения</t>
  </si>
  <si>
    <t>Сайты конкурентов</t>
  </si>
  <si>
    <t>Средний чек и сегменты</t>
  </si>
  <si>
    <t>Цены могут быть скрыты или неполны</t>
  </si>
  <si>
    <t>Реклама</t>
  </si>
  <si>
    <t>Охват и стоимость привлечения</t>
  </si>
  <si>
    <t>Рекламные кабинеты</t>
  </si>
  <si>
    <t>Допущения по цифровой воронке</t>
  </si>
  <si>
    <t>Требует тестовых кампаний</t>
  </si>
  <si>
    <t>Веб-инструменты построения и проверки диаграмм формальных нотаций (UML, BPMN, ERD, IDEF, DFD) для студентов и специалистов по ПО в Республике Беларусь</t>
  </si>
  <si>
    <t>Регистрация → оплата Pro: допущение проекта (Free → Pro 3–5 %); шкалы методик для услуг неприменимы</t>
  </si>
  <si>
    <t>Численность целевых групп по статистике РБ: студенты 229,0 тыс. + работники цифровой экономики 130,5 тыс. + ППС 17,1 тыс. (ИНСТР §7.1: число пользователей)</t>
  </si>
  <si>
    <t>К1 по ПК табл. 7: 15 / 30 / 50 % (середины диапазонов сценариев)</t>
  </si>
  <si>
    <t>К3 по ПК табл. 7: 30 / 55 / 80 %</t>
  </si>
  <si>
    <t>К2 × К4 (потребность × готовность платить) по ПК табл. 7: 10×7,5 % / 22,5×17,5 % / 40×32,5 %</t>
  </si>
  <si>
    <t>S-01 Студенты технических и экономических специальностей</t>
  </si>
  <si>
    <t>Белстат, «Образование в Республике Беларусь, 2026», табл. 7.1 (229,0 тыс., 2025/26); C = К2 × К4 (потребность и готовность платить)</t>
  </si>
  <si>
    <t>S-02/S-03 Аналитики, архитекторы ПО и разработчики</t>
  </si>
  <si>
    <t>Белстат, работники организаций цифровой экономики, 2024 (130 549); C = К2 × К4 (потребность и готовность платить)</t>
  </si>
  <si>
    <t>S-04 Преподаватели технических дисциплин</t>
  </si>
  <si>
    <t>Белстат, ППС вузов (17,1 тыс., 2025/26); доля технических дисциплин неизвестна; C = К2 × К4 (потребность и готовность платить)</t>
  </si>
  <si>
    <t>plantuml.com</t>
  </si>
  <si>
    <t>https://www.similarweb.com/website/plantuml.com/</t>
  </si>
  <si>
    <t>app.diagrams.net</t>
  </si>
  <si>
    <t>https://www.similarweb.com/website/app.diagrams.net/</t>
  </si>
  <si>
    <t>eraser.io</t>
  </si>
  <si>
    <t>https://www.similarweb.com/website/eraser.io/</t>
  </si>
  <si>
    <t>mermaidchart.com</t>
  </si>
  <si>
    <t>https://www.similarweb.com/website/mermaidchart.com/</t>
  </si>
  <si>
    <t>Годовой тариф – одна оплата в год (в формулах не используется)</t>
  </si>
  <si>
    <t>Посетитель → регистрация; значение шаблона (Word СВ табл. 22 – 2–6 %)</t>
  </si>
  <si>
    <t>Шкала шаблона; срок удержания – допущение</t>
  </si>
  <si>
    <t>Значение шаблона; в варианте Word – явное покрытие 0,5 / 0,7 / 0,9</t>
  </si>
  <si>
    <t>Pro: 40 у.е. × 3,0285 (НБРБ, 30.09.2026); альтернатива 48 у.е./год = 145,37 BYN</t>
  </si>
  <si>
    <t>Исходные данные уже по Республике Беларусь – 1,0</t>
  </si>
  <si>
    <t>29.09.2026</t>
  </si>
  <si>
    <t>Расчетный шаблон для оценки объема рынка: макро-ориентир «сверху вниз», расчет через клиентские сегменты «снизу вверх», проверка через цифровые признаки Similarweb</t>
  </si>
  <si>
    <t>Желтые ячейки заполняются пользователем. Зеленые ячейки рассчитываются автоматически</t>
  </si>
  <si>
    <t>Используется как источник оценочных данных о посещаемости сайтов конкурентов, каналах трафика, географии аудитории и конкурентном окружении</t>
  </si>
  <si>
    <t>Данные Similarweb не являются прямым измерением выручки. Итог должен оформляться как оценочный диапазон</t>
  </si>
  <si>
    <t>После заполнения файла формируется диапазон объема рынка: нижняя, базовая и верхняя оценка</t>
  </si>
  <si>
    <t>Параметры используются во всех расчетах. Демонстрационные значения заменяются на фактические</t>
  </si>
  <si>
    <t>От общего показателя рынка к доступному цифровому сегменту</t>
  </si>
  <si>
    <t>Расчет через клиентские сегменты, средний чек и частоту покупки</t>
  </si>
  <si>
    <t>Вводятся доступные оценочные данные: посещаемость, география, каналы, релевантность</t>
  </si>
  <si>
    <t>Релевантные визиты/мес</t>
  </si>
  <si>
    <t>Релевантный трафик конкурентов переводится в оценку заявок, продаж и объема рынка</t>
  </si>
  <si>
    <t>коэф</t>
  </si>
  <si>
    <t>Итоговый диапазон оценки объема рынка на основе трех подходов</t>
  </si>
  <si>
    <t>Ключевые показатели после заполнения шаблона</t>
  </si>
  <si>
    <t>Заполняется для воспроизводимости расчета</t>
  </si>
  <si>
    <t>ФАКТ (Similarweb, авг. 2026, скриншот); доля РБ – допущение Д-01; коммерческая релевантность 35 % (М2 табл. 21, базовый); вовлеченность 1,0</t>
  </si>
  <si>
    <t>отчет ЛР1, без скриншота; доля РБ – допущение Д-01; коммерческая релевантность 35 % (М2 табл. 21, базовый); вовлеченность 1,0</t>
  </si>
  <si>
    <t>предварительный замер 17–23.09.2026, не подтвержден; доля РБ – допущение Д-01; коммерческая релевантность 35 % (М2 табл. 21, базовый); вовлеченность 1,0</t>
  </si>
  <si>
    <t>предварительный замер: «менее 20 тыс.» (верхняя граница), не подтвержден; доля РБ – допущение Д-01; коммерческая релевантность 35 % (М2 табл. 21, базовый); вовлеченность 1,0</t>
  </si>
  <si>
    <t>Similarweb (plantuml.com, авг. 2026; остальные домены – отчет ЛР1 и предварительный замер 17–23.09.2026)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</si>
</sst>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0" fillId="6" borderId="8" xfId="1" applyFont="1" applyFill="1" applyBorder="1" applyAlignment="1">
      <alignment vertical="top" wrapText="1"/>
    </xf>
    <xf numFmtId="0" fontId="0" fillId="6" borderId="9" xfId="1" applyFont="1" applyFill="1" applyBorder="1" applyAlignment="1">
      <alignment vertical="top" wrapText="1"/>
    </xf>
    <xf numFmtId="10" fontId="0" fillId="6" borderId="8" xfId="1" applyNumberFormat="1" applyFont="1" applyFill="1" applyBorder="1" applyAlignment="1">
      <alignment vertical="top" wrapText="1"/>
    </xf>
    <xf numFmtId="3" fontId="0" fillId="6" borderId="8" xfId="1" applyNumberFormat="1" applyFont="1" applyFill="1" applyBorder="1" applyAlignment="1">
      <alignment vertical="top" wrapText="1"/>
    </xf>
    <xf numFmtId="2" fontId="0" fillId="6" borderId="8" xfId="1" applyNumberFormat="1" applyFont="1" applyFill="1" applyBorder="1" applyAlignment="1">
      <alignment vertical="top" wrapText="1"/>
    </xf>
    <xf numFmtId="2" fontId="0" fillId="6" borderId="9" xfId="1" applyNumberFormat="1" applyFont="1" applyFill="1" applyBorder="1" applyAlignment="1">
      <alignment vertical="top" wrapText="1"/>
    </xf>
    <xf numFmtId="3" fontId="0" fillId="7" borderId="8" xfId="1" applyNumberFormat="1" applyFont="1" applyFill="1" applyBorder="1" applyAlignment="1">
      <alignment vertical="top" wrapText="1"/>
    </xf>
    <xf numFmtId="3" fontId="0" fillId="7" borderId="9" xfId="1" applyNumberFormat="1" applyFont="1" applyFill="1" applyBorder="1" applyAlignment="1">
      <alignment vertical="top" wrapText="1"/>
    </xf>
    <xf numFmtId="10" fontId="0" fillId="7" borderId="8" xfId="1" applyNumberFormat="1" applyFont="1" applyFill="1" applyBorder="1" applyAlignment="1">
      <alignment vertical="top" wrapText="1"/>
    </xf>
    <xf numFmtId="10" fontId="0" fillId="7" borderId="9" xfId="1" applyNumberFormat="1" applyFont="1" applyFill="1" applyBorder="1" applyAlignment="1">
      <alignment vertical="top" wrapText="1"/>
    </xf>
    <xf numFmtId="0" fontId="0" fillId="6" borderId="3" xfId="1" applyFont="1" applyFill="1" applyBorder="1" applyAlignment="1">
      <alignment vertical="top" wrapText="1"/>
    </xf>
    <xf numFmtId="0" fontId="0" fillId="6" borderId="4" xfId="1" applyFont="1" applyFill="1" applyBorder="1" applyAlignment="1">
      <alignment vertical="top" wrapText="1"/>
    </xf>
    <xf numFmtId="3" fontId="0" fillId="7" borderId="4" xfId="1" applyNumberFormat="1" applyFont="1" applyFill="1" applyBorder="1" applyAlignment="1">
      <alignment vertical="top" wrapText="1"/>
    </xf>
    <xf numFmtId="3" fontId="0" fillId="7" borderId="6" xfId="1" applyNumberFormat="1" applyFont="1" applyFill="1" applyBorder="1" applyAlignment="1">
      <alignment vertical="top" wrapText="1"/>
    </xf>
    <xf numFmtId="0" fontId="0" fillId="7" borderId="3" xfId="1" applyFont="1" applyFill="1" applyBorder="1" applyAlignment="1">
      <alignment vertical="top" wrapText="1"/>
    </xf>
    <xf numFmtId="0" fontId="0" fillId="7" borderId="5" xfId="1" applyFont="1" applyFill="1" applyBorder="1" applyAlignment="1">
      <alignment vertical="top" wrapText="1"/>
    </xf>
    <xf numFmtId="10" fontId="0" fillId="7" borderId="4" xfId="1" applyNumberFormat="1" applyFont="1" applyFill="1" applyBorder="1" applyAlignment="1">
      <alignment vertical="top" wrapText="1"/>
    </xf>
    <xf numFmtId="10" fontId="0" fillId="7" borderId="6" xfId="1" applyNumberFormat="1" applyFont="1" applyFill="1" applyBorder="1" applyAlignment="1">
      <alignment vertical="top" wrapText="1"/>
    </xf>
    <xf numFmtId="0" fontId="0" fillId="6" borderId="6" xfId="1" applyFont="1" applyFill="1" applyBorder="1" applyAlignment="1">
      <alignment vertical="top" wrapText="1"/>
    </xf>
    <xf numFmtId="49" fontId="0" fillId="6" borderId="8" xfId="1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4" borderId="1" xfId="1" applyFont="1" applyFill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3" fillId="4" borderId="3" xfId="1" applyFont="1" applyFill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3" fillId="4" borderId="5" xfId="1" applyFont="1" applyFill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4" fillId="5" borderId="1" xfId="1" applyFont="1" applyFill="1" applyBorder="1" applyAlignment="1">
      <alignment horizontal="center" vertical="top" wrapText="1"/>
    </xf>
    <xf numFmtId="0" fontId="4" fillId="5" borderId="7" xfId="1" applyFont="1" applyFill="1" applyBorder="1" applyAlignment="1">
      <alignment horizontal="center" vertical="top" wrapText="1"/>
    </xf>
    <xf numFmtId="0" fontId="4" fillId="5" borderId="2" xfId="1" applyFont="1" applyFill="1" applyBorder="1" applyAlignment="1">
      <alignment horizontal="center" vertical="top" wrapText="1"/>
    </xf>
    <xf numFmtId="0" fontId="0" fillId="0" borderId="3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3" fontId="0" fillId="0" borderId="9" xfId="1" applyNumberFormat="1" applyFont="1" applyBorder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"/>
    </sheetView>
  </sheetViews>
  <sheetFormatPr defaultRowHeight="14.25"/>
  <cols>
    <col min="1" max="1" width="55.625" customWidth="1"/>
    <col min="2" max="2" width="60.625" customWidth="1"/>
    <col min="3" max="3" width="48.625" customWidth="1"/>
    <col min="4" max="8" width="9.625" customWidth="1"/>
  </cols>
  <sheetData>
    <row r="1" spans="1:8" ht="15" customHeight="1">
      <c r="A1" s="36" t="s">
        <v>0</v>
      </c>
      <c r="B1" s="37"/>
      <c r="C1" s="37"/>
      <c r="D1" s="37"/>
      <c r="E1" s="37"/>
      <c r="F1" s="37"/>
      <c r="G1" s="37"/>
      <c r="H1" s="37"/>
    </row>
    <row r="2" spans="1:8" ht="15" customHeight="1">
      <c r="A2" s="38" t="s">
        <v>1</v>
      </c>
      <c r="B2" s="37"/>
      <c r="C2" s="37"/>
      <c r="D2" s="37"/>
      <c r="E2" s="37"/>
      <c r="F2" s="37"/>
      <c r="G2" s="37"/>
      <c r="H2" s="37"/>
    </row>
    <row r="3" spans="1:8">
      <c r="A3" s="21"/>
      <c r="B3" s="21"/>
      <c r="C3" s="21"/>
      <c r="D3" s="21"/>
      <c r="E3" s="21"/>
      <c r="F3" s="21"/>
      <c r="G3" s="21"/>
      <c r="H3" s="21"/>
    </row>
    <row r="4" spans="1:8" ht="42.75">
      <c r="A4" s="22" t="s">
        <v>2</v>
      </c>
      <c r="B4" s="23" t="s">
        <v>246</v>
      </c>
      <c r="C4" s="21"/>
      <c r="D4" s="21"/>
      <c r="E4" s="21"/>
      <c r="F4" s="21"/>
      <c r="G4" s="21"/>
      <c r="H4" s="21"/>
    </row>
    <row r="5" spans="1:8" ht="28.5">
      <c r="A5" s="24" t="s">
        <v>3</v>
      </c>
      <c r="B5" s="25" t="s">
        <v>247</v>
      </c>
      <c r="C5" s="21"/>
      <c r="D5" s="21"/>
      <c r="E5" s="21"/>
      <c r="F5" s="21"/>
      <c r="G5" s="21"/>
      <c r="H5" s="21"/>
    </row>
    <row r="6" spans="1:8" ht="42.75">
      <c r="A6" s="24" t="s">
        <v>4</v>
      </c>
      <c r="B6" s="25" t="s">
        <v>248</v>
      </c>
      <c r="C6" s="21"/>
      <c r="D6" s="21"/>
      <c r="E6" s="21"/>
      <c r="F6" s="21"/>
      <c r="G6" s="21"/>
      <c r="H6" s="21"/>
    </row>
    <row r="7" spans="1:8" ht="28.5">
      <c r="A7" s="24" t="s">
        <v>5</v>
      </c>
      <c r="B7" s="25" t="s">
        <v>249</v>
      </c>
      <c r="C7" s="21"/>
      <c r="D7" s="21"/>
      <c r="E7" s="21"/>
      <c r="F7" s="21"/>
      <c r="G7" s="21"/>
      <c r="H7" s="21"/>
    </row>
    <row r="8" spans="1:8" ht="28.5">
      <c r="A8" s="26" t="s">
        <v>6</v>
      </c>
      <c r="B8" s="27" t="s">
        <v>250</v>
      </c>
      <c r="C8" s="21"/>
      <c r="D8" s="21"/>
      <c r="E8" s="21"/>
      <c r="F8" s="21"/>
      <c r="G8" s="21"/>
      <c r="H8" s="21"/>
    </row>
    <row r="9" spans="1:8">
      <c r="A9" s="21"/>
      <c r="B9" s="21"/>
      <c r="C9" s="21"/>
      <c r="D9" s="21"/>
      <c r="E9" s="21"/>
      <c r="F9" s="21"/>
      <c r="G9" s="21"/>
      <c r="H9" s="21"/>
    </row>
    <row r="10" spans="1:8">
      <c r="A10" s="21"/>
      <c r="B10" s="21"/>
      <c r="C10" s="21"/>
      <c r="D10" s="21"/>
      <c r="E10" s="21"/>
      <c r="F10" s="21"/>
      <c r="G10" s="21"/>
      <c r="H10" s="21"/>
    </row>
    <row r="11" spans="1:8" ht="15">
      <c r="A11" s="28" t="s">
        <v>7</v>
      </c>
      <c r="B11" s="29" t="s">
        <v>8</v>
      </c>
      <c r="C11" s="30" t="s">
        <v>9</v>
      </c>
      <c r="D11" s="21"/>
      <c r="E11" s="21"/>
      <c r="F11" s="21"/>
      <c r="G11" s="21"/>
      <c r="H11" s="21"/>
    </row>
    <row r="12" spans="1:8">
      <c r="A12" s="31">
        <v>1</v>
      </c>
      <c r="B12" s="32" t="s">
        <v>10</v>
      </c>
      <c r="C12" s="25" t="s">
        <v>11</v>
      </c>
      <c r="D12" s="21"/>
      <c r="E12" s="21"/>
      <c r="F12" s="21"/>
      <c r="G12" s="21"/>
      <c r="H12" s="21"/>
    </row>
    <row r="13" spans="1:8">
      <c r="A13" s="31">
        <v>2</v>
      </c>
      <c r="B13" s="32" t="s">
        <v>12</v>
      </c>
      <c r="C13" s="25" t="s">
        <v>13</v>
      </c>
      <c r="D13" s="21"/>
      <c r="E13" s="21"/>
      <c r="F13" s="21"/>
      <c r="G13" s="21"/>
      <c r="H13" s="21"/>
    </row>
    <row r="14" spans="1:8">
      <c r="A14" s="31">
        <v>3</v>
      </c>
      <c r="B14" s="32" t="s">
        <v>14</v>
      </c>
      <c r="C14" s="25" t="s">
        <v>15</v>
      </c>
      <c r="D14" s="21"/>
      <c r="E14" s="21"/>
      <c r="F14" s="21"/>
      <c r="G14" s="21"/>
      <c r="H14" s="21"/>
    </row>
    <row r="15" spans="1:8">
      <c r="A15" s="31">
        <v>4</v>
      </c>
      <c r="B15" s="32" t="s">
        <v>16</v>
      </c>
      <c r="C15" s="25" t="s">
        <v>17</v>
      </c>
      <c r="D15" s="21"/>
      <c r="E15" s="21"/>
      <c r="F15" s="21"/>
      <c r="G15" s="21"/>
      <c r="H15" s="21"/>
    </row>
    <row r="16" spans="1:8">
      <c r="A16" s="31">
        <v>5</v>
      </c>
      <c r="B16" s="32" t="s">
        <v>18</v>
      </c>
      <c r="C16" s="25" t="s">
        <v>19</v>
      </c>
      <c r="D16" s="21"/>
      <c r="E16" s="21"/>
      <c r="F16" s="21"/>
      <c r="G16" s="21"/>
      <c r="H16" s="21"/>
    </row>
    <row r="17" spans="1:8">
      <c r="A17" s="31">
        <v>6</v>
      </c>
      <c r="B17" s="32" t="s">
        <v>20</v>
      </c>
      <c r="C17" s="25" t="s">
        <v>21</v>
      </c>
      <c r="D17" s="21"/>
      <c r="E17" s="21"/>
      <c r="F17" s="21"/>
      <c r="G17" s="21"/>
      <c r="H17" s="21"/>
    </row>
    <row r="18" spans="1:8">
      <c r="A18" s="31">
        <v>7</v>
      </c>
      <c r="B18" s="32" t="s">
        <v>22</v>
      </c>
      <c r="C18" s="25" t="s">
        <v>23</v>
      </c>
      <c r="D18" s="21"/>
      <c r="E18" s="21"/>
      <c r="F18" s="21"/>
      <c r="G18" s="21"/>
      <c r="H18" s="21"/>
    </row>
    <row r="19" spans="1:8">
      <c r="A19" s="33">
        <v>8</v>
      </c>
      <c r="B19" s="34" t="s">
        <v>24</v>
      </c>
      <c r="C19" s="27" t="s">
        <v>25</v>
      </c>
      <c r="D19" s="21"/>
      <c r="E19" s="21"/>
      <c r="F19" s="21"/>
      <c r="G19" s="21"/>
      <c r="H19" s="21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25"/>
  <cols>
    <col min="1" max="2" width="55.625" customWidth="1"/>
    <col min="3" max="3" width="20" customWidth="1"/>
    <col min="4" max="4" width="42" customWidth="1"/>
    <col min="5" max="5" width="55.625" customWidth="1"/>
    <col min="6" max="6" width="18" customWidth="1"/>
  </cols>
  <sheetData>
    <row r="1" spans="1:6">
      <c r="A1" s="36" t="s">
        <v>26</v>
      </c>
      <c r="B1" s="37"/>
      <c r="C1" s="37"/>
      <c r="D1" s="37"/>
      <c r="E1" s="37"/>
      <c r="F1" s="37"/>
    </row>
    <row r="2" spans="1:6" ht="15" customHeight="1">
      <c r="A2" s="38" t="s">
        <v>251</v>
      </c>
      <c r="B2" s="37"/>
      <c r="C2" s="37"/>
      <c r="D2" s="37"/>
      <c r="E2" s="37"/>
      <c r="F2" s="37"/>
    </row>
    <row r="3" spans="1:6">
      <c r="A3" s="21"/>
      <c r="B3" s="21"/>
      <c r="C3" s="21"/>
      <c r="D3" s="21"/>
      <c r="E3" s="21"/>
      <c r="F3" s="21"/>
    </row>
    <row r="4" spans="1:6" ht="15">
      <c r="A4" s="28" t="s">
        <v>27</v>
      </c>
      <c r="B4" s="29" t="s">
        <v>28</v>
      </c>
      <c r="C4" s="29" t="s">
        <v>29</v>
      </c>
      <c r="D4" s="29" t="s">
        <v>2</v>
      </c>
      <c r="E4" s="29" t="s">
        <v>30</v>
      </c>
      <c r="F4" s="30" t="s">
        <v>31</v>
      </c>
    </row>
    <row r="5" spans="1:6" ht="42.75">
      <c r="A5" s="31" t="s">
        <v>32</v>
      </c>
      <c r="B5" s="1" t="s">
        <v>219</v>
      </c>
      <c r="C5" s="32"/>
      <c r="D5" s="32" t="s">
        <v>33</v>
      </c>
      <c r="E5" s="32" t="s">
        <v>34</v>
      </c>
      <c r="F5" s="25" t="s">
        <v>35</v>
      </c>
    </row>
    <row r="6" spans="1:6">
      <c r="A6" s="31" t="s">
        <v>36</v>
      </c>
      <c r="B6" s="4" t="s">
        <v>37</v>
      </c>
      <c r="C6" s="32"/>
      <c r="D6" s="32" t="s">
        <v>38</v>
      </c>
      <c r="E6" s="32" t="s">
        <v>39</v>
      </c>
      <c r="F6" s="25" t="s">
        <v>35</v>
      </c>
    </row>
    <row r="7" spans="1:6">
      <c r="A7" s="31" t="s">
        <v>40</v>
      </c>
      <c r="B7" s="1" t="s">
        <v>41</v>
      </c>
      <c r="C7" s="32"/>
      <c r="D7" s="32" t="s">
        <v>42</v>
      </c>
      <c r="E7" s="32" t="s">
        <v>43</v>
      </c>
      <c r="F7" s="25" t="s">
        <v>35</v>
      </c>
    </row>
    <row r="8" spans="1:6" ht="28.5">
      <c r="A8" s="31" t="s">
        <v>44</v>
      </c>
      <c r="B8" s="3">
        <v>121.14</v>
      </c>
      <c r="C8" s="32" t="s">
        <v>45</v>
      </c>
      <c r="D8" s="32" t="s">
        <v>46</v>
      </c>
      <c r="E8" s="32" t="s">
        <v>243</v>
      </c>
      <c r="F8" s="25" t="s">
        <v>35</v>
      </c>
    </row>
    <row r="9" spans="1:6" ht="28.5">
      <c r="A9" s="31" t="s">
        <v>47</v>
      </c>
      <c r="B9" s="3">
        <v>1</v>
      </c>
      <c r="C9" s="32" t="s">
        <v>48</v>
      </c>
      <c r="D9" s="32" t="s">
        <v>49</v>
      </c>
      <c r="E9" s="32" t="s">
        <v>239</v>
      </c>
      <c r="F9" s="25" t="s">
        <v>35</v>
      </c>
    </row>
    <row r="10" spans="1:6" ht="28.5">
      <c r="A10" s="31" t="s">
        <v>51</v>
      </c>
      <c r="B10" s="5">
        <v>2.5000000000000001E-2</v>
      </c>
      <c r="C10" s="32" t="s">
        <v>52</v>
      </c>
      <c r="D10" s="32" t="s">
        <v>53</v>
      </c>
      <c r="E10" s="32" t="s">
        <v>240</v>
      </c>
      <c r="F10" s="25" t="s">
        <v>35</v>
      </c>
    </row>
    <row r="11" spans="1:6" ht="28.5">
      <c r="A11" s="31" t="s">
        <v>55</v>
      </c>
      <c r="B11" s="5">
        <v>0.04</v>
      </c>
      <c r="C11" s="32" t="s">
        <v>52</v>
      </c>
      <c r="D11" s="32" t="s">
        <v>53</v>
      </c>
      <c r="E11" s="32" t="s">
        <v>220</v>
      </c>
      <c r="F11" s="25" t="s">
        <v>35</v>
      </c>
    </row>
    <row r="12" spans="1:6">
      <c r="A12" s="31" t="s">
        <v>56</v>
      </c>
      <c r="B12" s="5">
        <v>1.2</v>
      </c>
      <c r="C12" s="32" t="s">
        <v>48</v>
      </c>
      <c r="D12" s="32" t="s">
        <v>57</v>
      </c>
      <c r="E12" s="32" t="s">
        <v>241</v>
      </c>
      <c r="F12" s="25" t="s">
        <v>35</v>
      </c>
    </row>
    <row r="13" spans="1:6" ht="28.5">
      <c r="A13" s="31" t="s">
        <v>58</v>
      </c>
      <c r="B13" s="5">
        <v>1.1499999999999999</v>
      </c>
      <c r="C13" s="32" t="s">
        <v>59</v>
      </c>
      <c r="D13" s="32" t="s">
        <v>60</v>
      </c>
      <c r="E13" s="32" t="s">
        <v>242</v>
      </c>
      <c r="F13" s="25" t="s">
        <v>35</v>
      </c>
    </row>
    <row r="14" spans="1:6">
      <c r="A14" s="31" t="s">
        <v>61</v>
      </c>
      <c r="B14" s="5">
        <v>0.6</v>
      </c>
      <c r="C14" s="32" t="s">
        <v>59</v>
      </c>
      <c r="D14" s="32" t="s">
        <v>62</v>
      </c>
      <c r="E14" s="32" t="s">
        <v>63</v>
      </c>
      <c r="F14" s="25" t="s">
        <v>64</v>
      </c>
    </row>
    <row r="15" spans="1:6">
      <c r="A15" s="31" t="s">
        <v>65</v>
      </c>
      <c r="B15" s="5">
        <v>1</v>
      </c>
      <c r="C15" s="32" t="s">
        <v>59</v>
      </c>
      <c r="D15" s="32" t="s">
        <v>66</v>
      </c>
      <c r="E15" s="32" t="s">
        <v>67</v>
      </c>
      <c r="F15" s="25" t="s">
        <v>64</v>
      </c>
    </row>
    <row r="16" spans="1:6">
      <c r="A16" s="33" t="s">
        <v>68</v>
      </c>
      <c r="B16" s="6">
        <v>1.4</v>
      </c>
      <c r="C16" s="34" t="s">
        <v>59</v>
      </c>
      <c r="D16" s="34" t="s">
        <v>69</v>
      </c>
      <c r="E16" s="34" t="s">
        <v>70</v>
      </c>
      <c r="F16" s="27" t="s">
        <v>64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4.25"/>
  <cols>
    <col min="1" max="1" width="55.625" customWidth="1"/>
    <col min="2" max="4" width="18" customWidth="1"/>
    <col min="5" max="5" width="16" customWidth="1"/>
    <col min="6" max="6" width="55.625" customWidth="1"/>
    <col min="7" max="7" width="16" customWidth="1"/>
  </cols>
  <sheetData>
    <row r="1" spans="1:7">
      <c r="A1" s="36" t="s">
        <v>71</v>
      </c>
      <c r="B1" s="37"/>
      <c r="C1" s="37"/>
      <c r="D1" s="37"/>
      <c r="E1" s="37"/>
      <c r="F1" s="37"/>
      <c r="G1" s="37"/>
    </row>
    <row r="2" spans="1:7" ht="15" customHeight="1">
      <c r="A2" s="38" t="s">
        <v>252</v>
      </c>
      <c r="B2" s="37"/>
      <c r="C2" s="37"/>
      <c r="D2" s="37"/>
      <c r="E2" s="37"/>
      <c r="F2" s="37"/>
      <c r="G2" s="37"/>
    </row>
    <row r="3" spans="1:7">
      <c r="A3" s="21"/>
      <c r="B3" s="21"/>
      <c r="C3" s="21"/>
      <c r="D3" s="21"/>
      <c r="E3" s="21"/>
      <c r="F3" s="21"/>
      <c r="G3" s="21"/>
    </row>
    <row r="4" spans="1:7" ht="15">
      <c r="A4" s="28" t="s">
        <v>72</v>
      </c>
      <c r="B4" s="29" t="s">
        <v>73</v>
      </c>
      <c r="C4" s="29" t="s">
        <v>74</v>
      </c>
      <c r="D4" s="29" t="s">
        <v>75</v>
      </c>
      <c r="E4" s="29" t="s">
        <v>29</v>
      </c>
      <c r="F4" s="29" t="s">
        <v>76</v>
      </c>
      <c r="G4" s="30" t="s">
        <v>31</v>
      </c>
    </row>
    <row r="5" spans="1:7" ht="42.75">
      <c r="A5" s="31" t="s">
        <v>77</v>
      </c>
      <c r="B5" s="4">
        <v>376649</v>
      </c>
      <c r="C5" s="4">
        <v>376649</v>
      </c>
      <c r="D5" s="4">
        <v>376649</v>
      </c>
      <c r="E5" s="32" t="s">
        <v>78</v>
      </c>
      <c r="F5" s="32" t="s">
        <v>221</v>
      </c>
      <c r="G5" s="25" t="s">
        <v>35</v>
      </c>
    </row>
    <row r="6" spans="1:7" ht="28.5">
      <c r="A6" s="31" t="s">
        <v>79</v>
      </c>
      <c r="B6" s="3">
        <v>0.15</v>
      </c>
      <c r="C6" s="3">
        <v>0.3</v>
      </c>
      <c r="D6" s="3">
        <v>0.5</v>
      </c>
      <c r="E6" s="32" t="s">
        <v>52</v>
      </c>
      <c r="F6" s="32" t="s">
        <v>222</v>
      </c>
      <c r="G6" s="25" t="s">
        <v>35</v>
      </c>
    </row>
    <row r="7" spans="1:7">
      <c r="A7" s="31" t="s">
        <v>80</v>
      </c>
      <c r="B7" s="3">
        <v>1</v>
      </c>
      <c r="C7" s="3">
        <v>1</v>
      </c>
      <c r="D7" s="3">
        <v>1</v>
      </c>
      <c r="E7" s="32" t="s">
        <v>52</v>
      </c>
      <c r="F7" s="32" t="s">
        <v>244</v>
      </c>
      <c r="G7" s="25" t="s">
        <v>35</v>
      </c>
    </row>
    <row r="8" spans="1:7">
      <c r="A8" s="31" t="s">
        <v>81</v>
      </c>
      <c r="B8" s="3">
        <v>0.3</v>
      </c>
      <c r="C8" s="3">
        <v>0.55000000000000004</v>
      </c>
      <c r="D8" s="3">
        <v>0.8</v>
      </c>
      <c r="E8" s="32" t="s">
        <v>52</v>
      </c>
      <c r="F8" s="32" t="s">
        <v>223</v>
      </c>
      <c r="G8" s="25" t="s">
        <v>35</v>
      </c>
    </row>
    <row r="9" spans="1:7" ht="28.5">
      <c r="A9" s="31" t="s">
        <v>82</v>
      </c>
      <c r="B9" s="3">
        <v>7.4999999999999997E-3</v>
      </c>
      <c r="C9" s="3">
        <v>3.9375E-2</v>
      </c>
      <c r="D9" s="3">
        <v>0.13</v>
      </c>
      <c r="E9" s="32" t="s">
        <v>52</v>
      </c>
      <c r="F9" s="32" t="s">
        <v>224</v>
      </c>
      <c r="G9" s="25" t="s">
        <v>35</v>
      </c>
    </row>
    <row r="10" spans="1:7">
      <c r="A10" s="31" t="s">
        <v>44</v>
      </c>
      <c r="B10" s="7">
        <f>'01_Параметры'!B8</f>
        <v>121.14</v>
      </c>
      <c r="C10" s="7">
        <f>'01_Параметры'!B8</f>
        <v>121.14</v>
      </c>
      <c r="D10" s="7">
        <f>'01_Параметры'!B8</f>
        <v>121.14</v>
      </c>
      <c r="E10" s="32" t="s">
        <v>41</v>
      </c>
      <c r="F10" s="32" t="s">
        <v>83</v>
      </c>
      <c r="G10" s="25" t="s">
        <v>84</v>
      </c>
    </row>
    <row r="11" spans="1:7">
      <c r="A11" s="31" t="s">
        <v>85</v>
      </c>
      <c r="B11" s="7">
        <f>B5*B6*B7*B8*B9</f>
        <v>127.11903749999998</v>
      </c>
      <c r="C11" s="7">
        <f>C5*C6*C7*C8*C9</f>
        <v>2447.0414718750003</v>
      </c>
      <c r="D11" s="7">
        <f>D5*D6*D7*D8*D9</f>
        <v>19585.748000000003</v>
      </c>
      <c r="E11" s="32" t="s">
        <v>86</v>
      </c>
      <c r="F11" s="32" t="s">
        <v>87</v>
      </c>
      <c r="G11" s="25" t="s">
        <v>84</v>
      </c>
    </row>
    <row r="12" spans="1:7">
      <c r="A12" s="33" t="s">
        <v>88</v>
      </c>
      <c r="B12" s="8">
        <f>B11*B10</f>
        <v>15399.200202749997</v>
      </c>
      <c r="C12" s="8">
        <f>C11*C10</f>
        <v>296434.60390293755</v>
      </c>
      <c r="D12" s="8">
        <f>D11*D10</f>
        <v>2372617.5127200005</v>
      </c>
      <c r="E12" s="34" t="s">
        <v>89</v>
      </c>
      <c r="F12" s="34" t="s">
        <v>90</v>
      </c>
      <c r="G12" s="27" t="s">
        <v>84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25"/>
  <cols>
    <col min="1" max="1" width="55.625" customWidth="1"/>
    <col min="2" max="2" width="23.625" customWidth="1"/>
    <col min="3" max="3" width="20.625" customWidth="1"/>
    <col min="4" max="4" width="21.625" customWidth="1"/>
    <col min="5" max="5" width="14" customWidth="1"/>
    <col min="6" max="6" width="16" customWidth="1"/>
    <col min="7" max="7" width="20" customWidth="1"/>
    <col min="8" max="8" width="19.625" customWidth="1"/>
    <col min="9" max="9" width="55.625" customWidth="1"/>
    <col min="10" max="10" width="18" customWidth="1"/>
  </cols>
  <sheetData>
    <row r="1" spans="1:10">
      <c r="A1" s="36" t="s">
        <v>91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" customHeight="1">
      <c r="A2" s="38" t="s">
        <v>253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30">
      <c r="A4" s="28" t="s">
        <v>92</v>
      </c>
      <c r="B4" s="29" t="s">
        <v>93</v>
      </c>
      <c r="C4" s="29" t="s">
        <v>94</v>
      </c>
      <c r="D4" s="29" t="s">
        <v>95</v>
      </c>
      <c r="E4" s="29" t="s">
        <v>96</v>
      </c>
      <c r="F4" s="29" t="s">
        <v>97</v>
      </c>
      <c r="G4" s="29" t="s">
        <v>98</v>
      </c>
      <c r="H4" s="29" t="s">
        <v>99</v>
      </c>
      <c r="I4" s="29" t="s">
        <v>100</v>
      </c>
      <c r="J4" s="30" t="s">
        <v>101</v>
      </c>
    </row>
    <row r="5" spans="1:10" ht="42.75">
      <c r="A5" s="31" t="s">
        <v>225</v>
      </c>
      <c r="B5" s="4">
        <v>68700</v>
      </c>
      <c r="C5" s="3">
        <v>1.9688000000000001E-2</v>
      </c>
      <c r="D5" s="3">
        <v>0.55000000000000004</v>
      </c>
      <c r="E5" s="1">
        <v>1</v>
      </c>
      <c r="F5" s="4">
        <v>121.14</v>
      </c>
      <c r="G5" s="7">
        <f t="shared" ref="G5:G10" si="0">B5*C5*D5*E5*F5</f>
        <v>90117.388231200006</v>
      </c>
      <c r="H5" s="9">
        <f t="shared" ref="H5:H10" si="1">G5/SUM($G$5:$G$10)</f>
        <v>0.45515834666205374</v>
      </c>
      <c r="I5" s="32" t="s">
        <v>226</v>
      </c>
      <c r="J5" s="25" t="s">
        <v>50</v>
      </c>
    </row>
    <row r="6" spans="1:10" ht="28.5">
      <c r="A6" s="31" t="s">
        <v>227</v>
      </c>
      <c r="B6" s="4">
        <v>39165</v>
      </c>
      <c r="C6" s="3">
        <v>3.9375E-2</v>
      </c>
      <c r="D6" s="3">
        <v>0.55000000000000004</v>
      </c>
      <c r="E6" s="1">
        <v>1</v>
      </c>
      <c r="F6" s="4">
        <v>121.14</v>
      </c>
      <c r="G6" s="7">
        <f t="shared" si="0"/>
        <v>102746.95416562502</v>
      </c>
      <c r="H6" s="9">
        <f t="shared" si="1"/>
        <v>0.51894683923381346</v>
      </c>
      <c r="I6" s="32" t="s">
        <v>228</v>
      </c>
      <c r="J6" s="25" t="s">
        <v>50</v>
      </c>
    </row>
    <row r="7" spans="1:10" ht="42.75">
      <c r="A7" s="31" t="s">
        <v>229</v>
      </c>
      <c r="B7" s="4">
        <v>3420</v>
      </c>
      <c r="C7" s="3">
        <v>2.2499999999999999E-2</v>
      </c>
      <c r="D7" s="3">
        <v>0.55000000000000004</v>
      </c>
      <c r="E7" s="1">
        <v>1</v>
      </c>
      <c r="F7" s="4">
        <v>121.14</v>
      </c>
      <c r="G7" s="7">
        <f t="shared" si="0"/>
        <v>5126.947650000001</v>
      </c>
      <c r="H7" s="9">
        <f t="shared" si="1"/>
        <v>2.5894814104132944E-2</v>
      </c>
      <c r="I7" s="32" t="s">
        <v>230</v>
      </c>
      <c r="J7" s="25" t="s">
        <v>50</v>
      </c>
    </row>
    <row r="8" spans="1:10" hidden="1">
      <c r="A8" s="31"/>
      <c r="B8" s="4"/>
      <c r="C8" s="3"/>
      <c r="D8" s="3"/>
      <c r="E8" s="1"/>
      <c r="F8" s="4"/>
      <c r="G8" s="7">
        <f t="shared" si="0"/>
        <v>0</v>
      </c>
      <c r="H8" s="9">
        <f t="shared" si="1"/>
        <v>0</v>
      </c>
      <c r="I8" s="32"/>
      <c r="J8" s="25"/>
    </row>
    <row r="9" spans="1:10" hidden="1">
      <c r="A9" s="31"/>
      <c r="B9" s="4"/>
      <c r="C9" s="3"/>
      <c r="D9" s="3"/>
      <c r="E9" s="1"/>
      <c r="F9" s="4"/>
      <c r="G9" s="7">
        <f t="shared" si="0"/>
        <v>0</v>
      </c>
      <c r="H9" s="9">
        <f t="shared" si="1"/>
        <v>0</v>
      </c>
      <c r="I9" s="32"/>
      <c r="J9" s="25"/>
    </row>
    <row r="10" spans="1:10" hidden="1">
      <c r="A10" s="31"/>
      <c r="B10" s="4"/>
      <c r="C10" s="3"/>
      <c r="D10" s="3"/>
      <c r="E10" s="1"/>
      <c r="F10" s="4"/>
      <c r="G10" s="7">
        <f t="shared" si="0"/>
        <v>0</v>
      </c>
      <c r="H10" s="9">
        <f t="shared" si="1"/>
        <v>0</v>
      </c>
      <c r="I10" s="32"/>
      <c r="J10" s="25"/>
    </row>
    <row r="11" spans="1:10">
      <c r="A11" s="33" t="s">
        <v>104</v>
      </c>
      <c r="B11" s="35">
        <f>SUM(B5:B10)</f>
        <v>111285</v>
      </c>
      <c r="C11" s="34"/>
      <c r="D11" s="34"/>
      <c r="E11" s="34"/>
      <c r="F11" s="35"/>
      <c r="G11" s="8">
        <f>SUM(G5:G10)</f>
        <v>197991.29004682502</v>
      </c>
      <c r="H11" s="10">
        <f>SUM(H5:H10)</f>
        <v>1</v>
      </c>
      <c r="I11" s="34"/>
      <c r="J11" s="27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/>
  </sheetViews>
  <sheetFormatPr defaultRowHeight="14.25"/>
  <cols>
    <col min="1" max="1" width="55.625" customWidth="1"/>
    <col min="2" max="3" width="18" customWidth="1"/>
    <col min="4" max="4" width="24.625" customWidth="1"/>
    <col min="5" max="5" width="26.625" customWidth="1"/>
    <col min="6" max="6" width="28.625" customWidth="1"/>
    <col min="7" max="7" width="27.625" customWidth="1"/>
    <col min="8" max="8" width="25.625" customWidth="1"/>
    <col min="9" max="9" width="24.625" customWidth="1"/>
    <col min="10" max="10" width="20.625" customWidth="1"/>
    <col min="11" max="11" width="55.625" customWidth="1"/>
    <col min="12" max="12" width="16" customWidth="1"/>
    <col min="13" max="13" width="55.625" customWidth="1"/>
  </cols>
  <sheetData>
    <row r="1" spans="1:13">
      <c r="A1" s="36" t="s">
        <v>105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15" customHeight="1">
      <c r="A2" s="38" t="s">
        <v>254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30">
      <c r="A4" s="28" t="s">
        <v>106</v>
      </c>
      <c r="B4" s="29" t="s">
        <v>107</v>
      </c>
      <c r="C4" s="29" t="s">
        <v>108</v>
      </c>
      <c r="D4" s="29" t="s">
        <v>109</v>
      </c>
      <c r="E4" s="29" t="s">
        <v>110</v>
      </c>
      <c r="F4" s="29" t="s">
        <v>111</v>
      </c>
      <c r="G4" s="29" t="s">
        <v>112</v>
      </c>
      <c r="H4" s="29" t="s">
        <v>255</v>
      </c>
      <c r="I4" s="29" t="s">
        <v>113</v>
      </c>
      <c r="J4" s="29" t="s">
        <v>114</v>
      </c>
      <c r="K4" s="29" t="s">
        <v>115</v>
      </c>
      <c r="L4" s="29" t="s">
        <v>116</v>
      </c>
      <c r="M4" s="30" t="s">
        <v>30</v>
      </c>
    </row>
    <row r="5" spans="1:13" ht="42.75">
      <c r="A5" s="11" t="s">
        <v>231</v>
      </c>
      <c r="B5" s="1" t="s">
        <v>117</v>
      </c>
      <c r="C5" s="4">
        <v>507000</v>
      </c>
      <c r="D5" s="3">
        <v>1.9580000000000001E-3</v>
      </c>
      <c r="E5" s="3">
        <v>0.75</v>
      </c>
      <c r="F5" s="3">
        <v>0.35</v>
      </c>
      <c r="G5" s="3">
        <v>1</v>
      </c>
      <c r="H5" s="7">
        <f t="shared" ref="H5:H14" si="0">C5*D5*E5*F5*G5</f>
        <v>260.58532499999995</v>
      </c>
      <c r="I5" s="7">
        <f t="shared" ref="I5:I14" si="1">H5*12</f>
        <v>3127.0238999999992</v>
      </c>
      <c r="J5" s="9">
        <f>I5/SUM($I$5:$I$14)</f>
        <v>0.10978778692074488</v>
      </c>
      <c r="K5" s="1" t="s">
        <v>232</v>
      </c>
      <c r="L5" s="20" t="s">
        <v>245</v>
      </c>
      <c r="M5" s="12" t="s">
        <v>261</v>
      </c>
    </row>
    <row r="6" spans="1:13" ht="42.75">
      <c r="A6" s="11" t="s">
        <v>233</v>
      </c>
      <c r="B6" s="1" t="s">
        <v>119</v>
      </c>
      <c r="C6" s="4">
        <v>7800000</v>
      </c>
      <c r="D6" s="3">
        <v>1.9580000000000001E-3</v>
      </c>
      <c r="E6" s="3">
        <v>0.35</v>
      </c>
      <c r="F6" s="3">
        <v>0.35</v>
      </c>
      <c r="G6" s="3">
        <v>1</v>
      </c>
      <c r="H6" s="7">
        <f t="shared" si="0"/>
        <v>1870.8689999999999</v>
      </c>
      <c r="I6" s="7">
        <f t="shared" si="1"/>
        <v>22450.428</v>
      </c>
      <c r="J6" s="9">
        <f>I6/SUM($I$5:$I$14)</f>
        <v>0.78822000866175834</v>
      </c>
      <c r="K6" s="1" t="s">
        <v>234</v>
      </c>
      <c r="L6" s="20" t="s">
        <v>245</v>
      </c>
      <c r="M6" s="12" t="s">
        <v>262</v>
      </c>
    </row>
    <row r="7" spans="1:13" ht="42.75">
      <c r="A7" s="11" t="s">
        <v>235</v>
      </c>
      <c r="B7" s="1" t="s">
        <v>117</v>
      </c>
      <c r="C7" s="4">
        <v>678500</v>
      </c>
      <c r="D7" s="3">
        <v>1.9580000000000001E-3</v>
      </c>
      <c r="E7" s="3">
        <v>0.5</v>
      </c>
      <c r="F7" s="3">
        <v>0.35</v>
      </c>
      <c r="G7" s="3">
        <v>1</v>
      </c>
      <c r="H7" s="7">
        <f t="shared" si="0"/>
        <v>232.48802500000002</v>
      </c>
      <c r="I7" s="7">
        <f t="shared" si="1"/>
        <v>2789.8563000000004</v>
      </c>
      <c r="J7" s="9">
        <f>I7/SUM($I$5:$I$14)</f>
        <v>9.795005052692364E-2</v>
      </c>
      <c r="K7" s="1" t="s">
        <v>236</v>
      </c>
      <c r="L7" s="20" t="s">
        <v>245</v>
      </c>
      <c r="M7" s="12" t="s">
        <v>263</v>
      </c>
    </row>
    <row r="8" spans="1:13" ht="57">
      <c r="A8" s="11" t="s">
        <v>237</v>
      </c>
      <c r="B8" s="1" t="s">
        <v>117</v>
      </c>
      <c r="C8" s="4">
        <v>20000</v>
      </c>
      <c r="D8" s="3">
        <v>1.9580000000000001E-3</v>
      </c>
      <c r="E8" s="3">
        <v>0.7</v>
      </c>
      <c r="F8" s="3">
        <v>0.35</v>
      </c>
      <c r="G8" s="3">
        <v>1</v>
      </c>
      <c r="H8" s="7">
        <f t="shared" si="0"/>
        <v>9.5942000000000007</v>
      </c>
      <c r="I8" s="7">
        <f t="shared" si="1"/>
        <v>115.13040000000001</v>
      </c>
      <c r="J8" s="9">
        <f>I8/SUM($I$5:$I$14)</f>
        <v>4.0421538905731202E-3</v>
      </c>
      <c r="K8" s="1" t="s">
        <v>238</v>
      </c>
      <c r="L8" s="20" t="s">
        <v>245</v>
      </c>
      <c r="M8" s="12" t="s">
        <v>264</v>
      </c>
    </row>
    <row r="9" spans="1:13" hidden="1">
      <c r="A9" s="11"/>
      <c r="B9" s="1"/>
      <c r="C9" s="4"/>
      <c r="D9" s="3"/>
      <c r="E9" s="3"/>
      <c r="F9" s="3"/>
      <c r="G9" s="3"/>
      <c r="H9" s="7">
        <f t="shared" si="0"/>
        <v>0</v>
      </c>
      <c r="I9" s="7">
        <f t="shared" si="1"/>
        <v>0</v>
      </c>
      <c r="J9" s="9">
        <f>I9/SUM($I$5:$I$14)</f>
        <v>0</v>
      </c>
      <c r="K9" s="1"/>
      <c r="L9" s="1"/>
      <c r="M9" s="12"/>
    </row>
    <row r="10" spans="1:13" hidden="1">
      <c r="A10" s="11"/>
      <c r="B10" s="1"/>
      <c r="C10" s="4"/>
      <c r="D10" s="3"/>
      <c r="E10" s="3"/>
      <c r="F10" s="3"/>
      <c r="G10" s="3"/>
      <c r="H10" s="7">
        <f t="shared" si="0"/>
        <v>0</v>
      </c>
      <c r="I10" s="7">
        <f t="shared" si="1"/>
        <v>0</v>
      </c>
      <c r="J10" s="9">
        <f>IFERROR(I10/SUM($I$5:$I$14),0)</f>
        <v>0</v>
      </c>
      <c r="K10" s="1"/>
      <c r="L10" s="1"/>
      <c r="M10" s="12"/>
    </row>
    <row r="11" spans="1:13" hidden="1">
      <c r="A11" s="11"/>
      <c r="B11" s="1"/>
      <c r="C11" s="4"/>
      <c r="D11" s="3"/>
      <c r="E11" s="3"/>
      <c r="F11" s="3"/>
      <c r="G11" s="3"/>
      <c r="H11" s="7">
        <f t="shared" si="0"/>
        <v>0</v>
      </c>
      <c r="I11" s="7">
        <f t="shared" si="1"/>
        <v>0</v>
      </c>
      <c r="J11" s="9">
        <f>IFERROR(I11/SUM($I$5:$I$14),0)</f>
        <v>0</v>
      </c>
      <c r="K11" s="1"/>
      <c r="L11" s="1"/>
      <c r="M11" s="12"/>
    </row>
    <row r="12" spans="1:13" hidden="1">
      <c r="A12" s="11"/>
      <c r="B12" s="1"/>
      <c r="C12" s="4"/>
      <c r="D12" s="3"/>
      <c r="E12" s="3"/>
      <c r="F12" s="3"/>
      <c r="G12" s="3"/>
      <c r="H12" s="7">
        <f t="shared" si="0"/>
        <v>0</v>
      </c>
      <c r="I12" s="7">
        <f t="shared" si="1"/>
        <v>0</v>
      </c>
      <c r="J12" s="9">
        <f>IFERROR(I12/SUM($I$5:$I$14),0)</f>
        <v>0</v>
      </c>
      <c r="K12" s="1"/>
      <c r="L12" s="1"/>
      <c r="M12" s="12"/>
    </row>
    <row r="13" spans="1:13" hidden="1">
      <c r="A13" s="11"/>
      <c r="B13" s="1"/>
      <c r="C13" s="4"/>
      <c r="D13" s="3"/>
      <c r="E13" s="3"/>
      <c r="F13" s="3"/>
      <c r="G13" s="3"/>
      <c r="H13" s="7">
        <f t="shared" si="0"/>
        <v>0</v>
      </c>
      <c r="I13" s="7">
        <f t="shared" si="1"/>
        <v>0</v>
      </c>
      <c r="J13" s="9">
        <f>IFERROR(I13/SUM($I$5:$I$14),0)</f>
        <v>0</v>
      </c>
      <c r="K13" s="1"/>
      <c r="L13" s="1"/>
      <c r="M13" s="12"/>
    </row>
    <row r="14" spans="1:13" hidden="1">
      <c r="A14" s="11"/>
      <c r="B14" s="1"/>
      <c r="C14" s="4"/>
      <c r="D14" s="3"/>
      <c r="E14" s="3"/>
      <c r="F14" s="3"/>
      <c r="G14" s="3"/>
      <c r="H14" s="7">
        <f t="shared" si="0"/>
        <v>0</v>
      </c>
      <c r="I14" s="7">
        <f t="shared" si="1"/>
        <v>0</v>
      </c>
      <c r="J14" s="9">
        <f>IFERROR(I14/SUM($I$5:$I$14),0)</f>
        <v>0</v>
      </c>
      <c r="K14" s="1"/>
      <c r="L14" s="1"/>
      <c r="M14" s="12"/>
    </row>
    <row r="15" spans="1:13">
      <c r="A15" s="33" t="s">
        <v>104</v>
      </c>
      <c r="B15" s="34"/>
      <c r="C15" s="35">
        <f>SUM(C5:C14)</f>
        <v>9005500</v>
      </c>
      <c r="D15" s="34"/>
      <c r="E15" s="34"/>
      <c r="F15" s="34"/>
      <c r="G15" s="34"/>
      <c r="H15" s="8">
        <f>SUM(H5:H14)</f>
        <v>2373.5365499999998</v>
      </c>
      <c r="I15" s="8">
        <f>SUM(I5:I14)</f>
        <v>28482.438600000001</v>
      </c>
      <c r="J15" s="10">
        <f>SUM(J5:J14)</f>
        <v>1</v>
      </c>
      <c r="K15" s="34"/>
      <c r="L15" s="34"/>
      <c r="M15" s="27"/>
    </row>
  </sheetData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4.25"/>
  <cols>
    <col min="1" max="1" width="55.625" customWidth="1"/>
    <col min="2" max="4" width="18" customWidth="1"/>
    <col min="5" max="5" width="16" customWidth="1"/>
    <col min="6" max="6" width="42.625" customWidth="1"/>
    <col min="7" max="7" width="40" customWidth="1"/>
  </cols>
  <sheetData>
    <row r="1" spans="1:7">
      <c r="A1" s="36" t="s">
        <v>120</v>
      </c>
      <c r="B1" s="37"/>
      <c r="C1" s="37"/>
      <c r="D1" s="37"/>
      <c r="E1" s="37"/>
      <c r="F1" s="37"/>
      <c r="G1" s="37"/>
    </row>
    <row r="2" spans="1:7" ht="15" customHeight="1">
      <c r="A2" s="38" t="s">
        <v>256</v>
      </c>
      <c r="B2" s="37"/>
      <c r="C2" s="37"/>
      <c r="D2" s="37"/>
      <c r="E2" s="37"/>
      <c r="F2" s="37"/>
      <c r="G2" s="37"/>
    </row>
    <row r="3" spans="1:7">
      <c r="A3" s="21"/>
      <c r="B3" s="21"/>
      <c r="C3" s="21"/>
      <c r="D3" s="21"/>
      <c r="E3" s="21"/>
      <c r="F3" s="21"/>
      <c r="G3" s="21"/>
    </row>
    <row r="4" spans="1:7" ht="15">
      <c r="A4" s="28" t="s">
        <v>72</v>
      </c>
      <c r="B4" s="29" t="s">
        <v>73</v>
      </c>
      <c r="C4" s="29" t="s">
        <v>74</v>
      </c>
      <c r="D4" s="29" t="s">
        <v>75</v>
      </c>
      <c r="E4" s="29" t="s">
        <v>29</v>
      </c>
      <c r="F4" s="29" t="s">
        <v>121</v>
      </c>
      <c r="G4" s="30" t="s">
        <v>30</v>
      </c>
    </row>
    <row r="5" spans="1:7">
      <c r="A5" s="31" t="s">
        <v>122</v>
      </c>
      <c r="B5" s="7">
        <f>'04_Similarweb'!I15*'01_Параметры'!B14</f>
        <v>17089.463159999999</v>
      </c>
      <c r="C5" s="7">
        <f>'04_Similarweb'!I15*'01_Параметры'!B15</f>
        <v>28482.438600000001</v>
      </c>
      <c r="D5" s="7">
        <f>'04_Similarweb'!I15*'01_Параметры'!B16</f>
        <v>39875.414039999996</v>
      </c>
      <c r="E5" s="32" t="s">
        <v>123</v>
      </c>
      <c r="F5" s="32" t="s">
        <v>124</v>
      </c>
      <c r="G5" s="25" t="s">
        <v>125</v>
      </c>
    </row>
    <row r="6" spans="1:7">
      <c r="A6" s="31" t="s">
        <v>126</v>
      </c>
      <c r="B6" s="7">
        <f>'01_Параметры'!B13</f>
        <v>1.1499999999999999</v>
      </c>
      <c r="C6" s="7">
        <f>'01_Параметры'!B13</f>
        <v>1.1499999999999999</v>
      </c>
      <c r="D6" s="7">
        <f>'01_Параметры'!B13</f>
        <v>1.1499999999999999</v>
      </c>
      <c r="E6" s="32" t="s">
        <v>257</v>
      </c>
      <c r="F6" s="32" t="s">
        <v>127</v>
      </c>
      <c r="G6" s="25" t="s">
        <v>128</v>
      </c>
    </row>
    <row r="7" spans="1:7">
      <c r="A7" s="31" t="s">
        <v>129</v>
      </c>
      <c r="B7" s="7">
        <f>B5*B6</f>
        <v>19652.882633999998</v>
      </c>
      <c r="C7" s="7">
        <f>C5*C6</f>
        <v>32754.804389999998</v>
      </c>
      <c r="D7" s="7">
        <f>D5*D6</f>
        <v>45856.726145999994</v>
      </c>
      <c r="E7" s="32" t="s">
        <v>123</v>
      </c>
      <c r="F7" s="32" t="s">
        <v>130</v>
      </c>
      <c r="G7" s="25" t="s">
        <v>131</v>
      </c>
    </row>
    <row r="8" spans="1:7">
      <c r="A8" s="31" t="s">
        <v>51</v>
      </c>
      <c r="B8" s="9">
        <f>'01_Параметры'!B10*0.7</f>
        <v>1.7499999999999998E-2</v>
      </c>
      <c r="C8" s="9">
        <f>'01_Параметры'!B10</f>
        <v>2.5000000000000001E-2</v>
      </c>
      <c r="D8" s="9">
        <f>'01_Параметры'!B10*1.3</f>
        <v>3.2500000000000001E-2</v>
      </c>
      <c r="E8" s="32" t="s">
        <v>52</v>
      </c>
      <c r="F8" s="32" t="s">
        <v>132</v>
      </c>
      <c r="G8" s="25" t="s">
        <v>54</v>
      </c>
    </row>
    <row r="9" spans="1:7">
      <c r="A9" s="31" t="s">
        <v>133</v>
      </c>
      <c r="B9" s="7">
        <f>B7*B8</f>
        <v>343.92544609499993</v>
      </c>
      <c r="C9" s="7">
        <f>C7*C8</f>
        <v>818.87010974999998</v>
      </c>
      <c r="D9" s="7">
        <f>D7*D8</f>
        <v>1490.3435997449999</v>
      </c>
      <c r="E9" s="32" t="s">
        <v>134</v>
      </c>
      <c r="F9" s="32" t="s">
        <v>135</v>
      </c>
      <c r="G9" s="25"/>
    </row>
    <row r="10" spans="1:7">
      <c r="A10" s="31" t="s">
        <v>55</v>
      </c>
      <c r="B10" s="7">
        <f>'01_Параметры'!B11*0.8</f>
        <v>3.2000000000000001E-2</v>
      </c>
      <c r="C10" s="7">
        <f>'01_Параметры'!B11</f>
        <v>0.04</v>
      </c>
      <c r="D10" s="7">
        <f>'01_Параметры'!B11*1.2</f>
        <v>4.8000000000000001E-2</v>
      </c>
      <c r="E10" s="32" t="s">
        <v>52</v>
      </c>
      <c r="F10" s="32" t="s">
        <v>132</v>
      </c>
      <c r="G10" s="25"/>
    </row>
    <row r="11" spans="1:7">
      <c r="A11" s="31" t="s">
        <v>136</v>
      </c>
      <c r="B11" s="7">
        <f>B9*B10</f>
        <v>11.005614275039997</v>
      </c>
      <c r="C11" s="7">
        <f>C9*C10</f>
        <v>32.754804389999997</v>
      </c>
      <c r="D11" s="7">
        <f>D9*D10</f>
        <v>71.536492787759997</v>
      </c>
      <c r="E11" s="32" t="s">
        <v>137</v>
      </c>
      <c r="F11" s="32" t="s">
        <v>138</v>
      </c>
      <c r="G11" s="25"/>
    </row>
    <row r="12" spans="1:7">
      <c r="A12" s="31" t="s">
        <v>44</v>
      </c>
      <c r="B12" s="7">
        <f>'01_Параметры'!B8*0.8</f>
        <v>96.912000000000006</v>
      </c>
      <c r="C12" s="7">
        <f>'01_Параметры'!B8</f>
        <v>121.14</v>
      </c>
      <c r="D12" s="7">
        <f>'01_Параметры'!B8*1.2</f>
        <v>145.36799999999999</v>
      </c>
      <c r="E12" s="32" t="s">
        <v>41</v>
      </c>
      <c r="F12" s="32" t="s">
        <v>132</v>
      </c>
      <c r="G12" s="25"/>
    </row>
    <row r="13" spans="1:7">
      <c r="A13" s="31" t="s">
        <v>56</v>
      </c>
      <c r="B13" s="7">
        <f>'01_Параметры'!B12*0.9</f>
        <v>1.08</v>
      </c>
      <c r="C13" s="7">
        <f>'01_Параметры'!B12</f>
        <v>1.2</v>
      </c>
      <c r="D13" s="7">
        <f>'01_Параметры'!B12*1.1</f>
        <v>1.32</v>
      </c>
      <c r="E13" s="32" t="s">
        <v>257</v>
      </c>
      <c r="F13" s="32" t="s">
        <v>127</v>
      </c>
      <c r="G13" s="25"/>
    </row>
    <row r="14" spans="1:7">
      <c r="A14" s="33" t="s">
        <v>139</v>
      </c>
      <c r="B14" s="8">
        <f>B11*B12*B13</f>
        <v>1151.9021778724905</v>
      </c>
      <c r="C14" s="8">
        <f>C11*C12*C13</f>
        <v>4761.5004045655196</v>
      </c>
      <c r="D14" s="8">
        <f>D11*D12*D13</f>
        <v>13726.834286313844</v>
      </c>
      <c r="E14" s="34" t="s">
        <v>89</v>
      </c>
      <c r="F14" s="34" t="s">
        <v>140</v>
      </c>
      <c r="G14" s="27" t="s">
        <v>141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/>
  </sheetViews>
  <sheetFormatPr defaultRowHeight="14.25"/>
  <cols>
    <col min="1" max="1" width="55.625" customWidth="1"/>
    <col min="2" max="4" width="18" customWidth="1"/>
    <col min="5" max="5" width="55.625" customWidth="1"/>
    <col min="6" max="6" width="28.625" customWidth="1"/>
    <col min="7" max="7" width="30" customWidth="1"/>
    <col min="8" max="8" width="32" customWidth="1"/>
  </cols>
  <sheetData>
    <row r="1" spans="1:8">
      <c r="A1" s="36" t="s">
        <v>142</v>
      </c>
      <c r="B1" s="37"/>
      <c r="C1" s="37"/>
      <c r="D1" s="37"/>
      <c r="E1" s="37"/>
      <c r="F1" s="37"/>
      <c r="G1" s="37"/>
      <c r="H1" s="37"/>
    </row>
    <row r="2" spans="1:8" ht="15" customHeight="1">
      <c r="A2" s="38" t="s">
        <v>258</v>
      </c>
      <c r="B2" s="37"/>
      <c r="C2" s="37"/>
      <c r="D2" s="37"/>
      <c r="E2" s="37"/>
      <c r="F2" s="37"/>
      <c r="G2" s="37"/>
      <c r="H2" s="37"/>
    </row>
    <row r="3" spans="1:8">
      <c r="A3" s="21"/>
      <c r="B3" s="21"/>
      <c r="C3" s="21"/>
      <c r="D3" s="21"/>
      <c r="E3" s="21"/>
      <c r="F3" s="21"/>
      <c r="G3" s="21"/>
      <c r="H3" s="21"/>
    </row>
    <row r="4" spans="1:8" ht="15">
      <c r="A4" s="28" t="s">
        <v>143</v>
      </c>
      <c r="B4" s="29" t="s">
        <v>73</v>
      </c>
      <c r="C4" s="29" t="s">
        <v>74</v>
      </c>
      <c r="D4" s="29" t="s">
        <v>75</v>
      </c>
      <c r="E4" s="29" t="s">
        <v>30</v>
      </c>
      <c r="F4" s="29" t="s">
        <v>144</v>
      </c>
      <c r="G4" s="29" t="s">
        <v>145</v>
      </c>
      <c r="H4" s="30" t="s">
        <v>5</v>
      </c>
    </row>
    <row r="5" spans="1:8">
      <c r="A5" s="31" t="s">
        <v>146</v>
      </c>
      <c r="B5" s="7">
        <f>'02_Сверху_вниз'!B12</f>
        <v>15399.200202749997</v>
      </c>
      <c r="C5" s="7">
        <f>'02_Сверху_вниз'!C12</f>
        <v>296434.60390293755</v>
      </c>
      <c r="D5" s="7">
        <f>'02_Сверху_вниз'!D12</f>
        <v>2372617.5127200005</v>
      </c>
      <c r="E5" s="32" t="s">
        <v>147</v>
      </c>
      <c r="F5" s="32" t="s">
        <v>148</v>
      </c>
      <c r="G5" s="32" t="s">
        <v>149</v>
      </c>
      <c r="H5" s="25" t="s">
        <v>150</v>
      </c>
    </row>
    <row r="6" spans="1:8">
      <c r="A6" s="31" t="s">
        <v>151</v>
      </c>
      <c r="B6" s="7">
        <f>'03_Снизу_вверх'!G11*'01_Параметры'!B14</f>
        <v>118794.77402809501</v>
      </c>
      <c r="C6" s="7">
        <f>'03_Снизу_вверх'!G11*'01_Параметры'!B15</f>
        <v>197991.29004682502</v>
      </c>
      <c r="D6" s="7">
        <f>'03_Снизу_вверх'!G11*'01_Параметры'!B16</f>
        <v>277187.80606555502</v>
      </c>
      <c r="E6" s="32" t="s">
        <v>152</v>
      </c>
      <c r="F6" s="32" t="s">
        <v>153</v>
      </c>
      <c r="G6" s="32" t="s">
        <v>154</v>
      </c>
      <c r="H6" s="25" t="s">
        <v>155</v>
      </c>
    </row>
    <row r="7" spans="1:8">
      <c r="A7" s="31" t="s">
        <v>156</v>
      </c>
      <c r="B7" s="7">
        <f>'05_Воронка_SW'!B14</f>
        <v>1151.9021778724905</v>
      </c>
      <c r="C7" s="7">
        <f>'05_Воронка_SW'!C14</f>
        <v>4761.5004045655196</v>
      </c>
      <c r="D7" s="7">
        <f>'05_Воронка_SW'!D14</f>
        <v>13726.834286313844</v>
      </c>
      <c r="E7" s="32" t="s">
        <v>157</v>
      </c>
      <c r="F7" s="32" t="s">
        <v>148</v>
      </c>
      <c r="G7" s="32" t="s">
        <v>158</v>
      </c>
      <c r="H7" s="25" t="s">
        <v>159</v>
      </c>
    </row>
    <row r="8" spans="1:8">
      <c r="A8" s="31" t="s">
        <v>160</v>
      </c>
      <c r="B8" s="7">
        <f>MIN(B5:B7)</f>
        <v>1151.9021778724905</v>
      </c>
      <c r="C8" s="7">
        <f>MIN(C5:C7)</f>
        <v>4761.5004045655196</v>
      </c>
      <c r="D8" s="7">
        <f>MIN(D5:D7)</f>
        <v>13726.834286313844</v>
      </c>
      <c r="E8" s="32" t="s">
        <v>161</v>
      </c>
      <c r="F8" s="32"/>
      <c r="G8" s="32"/>
      <c r="H8" s="25"/>
    </row>
    <row r="9" spans="1:8">
      <c r="A9" s="31" t="s">
        <v>162</v>
      </c>
      <c r="B9" s="7">
        <f>AVERAGE(B5:B7)</f>
        <v>45115.292136239157</v>
      </c>
      <c r="C9" s="7">
        <f>AVERAGE(C5:C7)</f>
        <v>166395.79811810938</v>
      </c>
      <c r="D9" s="7">
        <f>AVERAGE(D5:D7)</f>
        <v>887844.0510239565</v>
      </c>
      <c r="E9" s="32" t="s">
        <v>163</v>
      </c>
      <c r="F9" s="32"/>
      <c r="G9" s="32"/>
      <c r="H9" s="25"/>
    </row>
    <row r="10" spans="1:8">
      <c r="A10" s="33" t="s">
        <v>164</v>
      </c>
      <c r="B10" s="8">
        <f>MAX(B5:B7)</f>
        <v>118794.77402809501</v>
      </c>
      <c r="C10" s="8">
        <f>MAX(C5:C7)</f>
        <v>296434.60390293755</v>
      </c>
      <c r="D10" s="8">
        <f>MAX(D5:D7)</f>
        <v>2372617.5127200005</v>
      </c>
      <c r="E10" s="34" t="s">
        <v>165</v>
      </c>
      <c r="F10" s="34"/>
      <c r="G10" s="34"/>
      <c r="H10" s="27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/>
  </sheetViews>
  <sheetFormatPr defaultRowHeight="14.25"/>
  <cols>
    <col min="1" max="1" width="48.625" customWidth="1"/>
    <col min="2" max="2" width="24" customWidth="1"/>
    <col min="3" max="3" width="52.625" customWidth="1"/>
    <col min="4" max="4" width="9.625" customWidth="1"/>
    <col min="5" max="5" width="28" customWidth="1"/>
    <col min="6" max="6" width="27.625" customWidth="1"/>
    <col min="7" max="8" width="18" customWidth="1"/>
  </cols>
  <sheetData>
    <row r="1" spans="1:8">
      <c r="A1" s="36" t="s">
        <v>166</v>
      </c>
      <c r="B1" s="37"/>
      <c r="C1" s="37"/>
      <c r="D1" s="37"/>
      <c r="E1" s="37"/>
      <c r="F1" s="37"/>
      <c r="G1" s="37"/>
      <c r="H1" s="37"/>
    </row>
    <row r="2" spans="1:8" ht="15" customHeight="1">
      <c r="A2" s="38" t="s">
        <v>259</v>
      </c>
      <c r="B2" s="37"/>
      <c r="C2" s="37"/>
      <c r="D2" s="37"/>
      <c r="E2" s="37"/>
      <c r="F2" s="37"/>
      <c r="G2" s="37"/>
      <c r="H2" s="37"/>
    </row>
    <row r="3" spans="1:8">
      <c r="A3" s="21"/>
      <c r="B3" s="21"/>
      <c r="C3" s="21"/>
      <c r="D3" s="21"/>
      <c r="E3" s="21"/>
      <c r="F3" s="21"/>
      <c r="G3" s="21"/>
      <c r="H3" s="21"/>
    </row>
    <row r="4" spans="1:8" ht="15">
      <c r="A4" s="28" t="s">
        <v>72</v>
      </c>
      <c r="B4" s="29" t="s">
        <v>28</v>
      </c>
      <c r="C4" s="30" t="s">
        <v>30</v>
      </c>
      <c r="D4" s="21"/>
      <c r="E4" s="28" t="s">
        <v>167</v>
      </c>
      <c r="F4" s="29" t="s">
        <v>73</v>
      </c>
      <c r="G4" s="29" t="s">
        <v>74</v>
      </c>
      <c r="H4" s="30" t="s">
        <v>75</v>
      </c>
    </row>
    <row r="5" spans="1:8">
      <c r="A5" s="31" t="s">
        <v>168</v>
      </c>
      <c r="B5" s="7">
        <f>'06_Сверка'!B8</f>
        <v>1151.9021778724905</v>
      </c>
      <c r="C5" s="25" t="s">
        <v>169</v>
      </c>
      <c r="D5" s="21"/>
      <c r="E5" s="31" t="s">
        <v>146</v>
      </c>
      <c r="F5" s="7">
        <f>'06_Сверка'!B5</f>
        <v>15399.200202749997</v>
      </c>
      <c r="G5" s="7">
        <f>'06_Сверка'!C5</f>
        <v>296434.60390293755</v>
      </c>
      <c r="H5" s="13">
        <f>'06_Сверка'!D5</f>
        <v>2372617.5127200005</v>
      </c>
    </row>
    <row r="6" spans="1:8">
      <c r="A6" s="31" t="s">
        <v>170</v>
      </c>
      <c r="B6" s="7">
        <f>'06_Сверка'!C9</f>
        <v>166395.79811810938</v>
      </c>
      <c r="C6" s="25" t="s">
        <v>171</v>
      </c>
      <c r="D6" s="21"/>
      <c r="E6" s="31" t="s">
        <v>151</v>
      </c>
      <c r="F6" s="7">
        <f>'06_Сверка'!B6</f>
        <v>118794.77402809501</v>
      </c>
      <c r="G6" s="7">
        <f>'06_Сверка'!C6</f>
        <v>197991.29004682502</v>
      </c>
      <c r="H6" s="13">
        <f>'06_Сверка'!D6</f>
        <v>277187.80606555502</v>
      </c>
    </row>
    <row r="7" spans="1:8">
      <c r="A7" s="31" t="s">
        <v>172</v>
      </c>
      <c r="B7" s="7">
        <f>'06_Сверка'!D10</f>
        <v>2372617.5127200005</v>
      </c>
      <c r="C7" s="25" t="s">
        <v>173</v>
      </c>
      <c r="D7" s="21"/>
      <c r="E7" s="33" t="s">
        <v>4</v>
      </c>
      <c r="F7" s="8">
        <f>'06_Сверка'!B7</f>
        <v>1151.9021778724905</v>
      </c>
      <c r="G7" s="8">
        <f>'06_Сверка'!C7</f>
        <v>4761.5004045655196</v>
      </c>
      <c r="H7" s="14">
        <f>'06_Сверка'!D7</f>
        <v>13726.834286313844</v>
      </c>
    </row>
    <row r="8" spans="1:8">
      <c r="A8" s="31" t="s">
        <v>174</v>
      </c>
      <c r="B8" s="7">
        <f>'04_Similarweb'!I15</f>
        <v>28482.438600000001</v>
      </c>
      <c r="C8" s="25" t="s">
        <v>175</v>
      </c>
      <c r="D8" s="21"/>
      <c r="E8" s="21"/>
      <c r="F8" s="21"/>
      <c r="G8" s="21"/>
      <c r="H8" s="21"/>
    </row>
    <row r="9" spans="1:8">
      <c r="A9" s="31" t="s">
        <v>176</v>
      </c>
      <c r="B9" s="7">
        <f>'03_Снизу_вверх'!G11</f>
        <v>197991.29004682502</v>
      </c>
      <c r="C9" s="25" t="s">
        <v>177</v>
      </c>
      <c r="D9" s="21"/>
      <c r="E9" s="21"/>
      <c r="F9" s="21"/>
      <c r="G9" s="21"/>
      <c r="H9" s="21"/>
    </row>
    <row r="10" spans="1:8" ht="30">
      <c r="A10" s="33" t="s">
        <v>178</v>
      </c>
      <c r="B10" s="8">
        <f>'05_Воронка_SW'!C14</f>
        <v>4761.5004045655196</v>
      </c>
      <c r="C10" s="27" t="s">
        <v>179</v>
      </c>
      <c r="D10" s="21"/>
      <c r="E10" s="28" t="s">
        <v>180</v>
      </c>
      <c r="F10" s="30" t="s">
        <v>181</v>
      </c>
      <c r="G10" s="21"/>
      <c r="H10" s="21"/>
    </row>
    <row r="11" spans="1:8">
      <c r="A11" s="21"/>
      <c r="B11" s="21"/>
      <c r="C11" s="21"/>
      <c r="D11" s="21"/>
      <c r="E11" s="15" t="str">
        <f>'04_Similarweb'!A5</f>
        <v>plantuml.com</v>
      </c>
      <c r="F11" s="17">
        <f>'04_Similarweb'!J5</f>
        <v>0.10978778692074488</v>
      </c>
      <c r="G11" s="21"/>
      <c r="H11" s="21"/>
    </row>
    <row r="12" spans="1:8">
      <c r="A12" s="21"/>
      <c r="B12" s="21"/>
      <c r="C12" s="21"/>
      <c r="D12" s="21"/>
      <c r="E12" s="15" t="str">
        <f>'04_Similarweb'!A6</f>
        <v>app.diagrams.net</v>
      </c>
      <c r="F12" s="17">
        <f>'04_Similarweb'!J6</f>
        <v>0.78822000866175834</v>
      </c>
      <c r="G12" s="21"/>
      <c r="H12" s="21"/>
    </row>
    <row r="13" spans="1:8">
      <c r="A13" s="21"/>
      <c r="B13" s="21"/>
      <c r="C13" s="21"/>
      <c r="D13" s="21"/>
      <c r="E13" s="15" t="str">
        <f>'04_Similarweb'!A7</f>
        <v>eraser.io</v>
      </c>
      <c r="F13" s="17">
        <f>'04_Similarweb'!J7</f>
        <v>9.795005052692364E-2</v>
      </c>
      <c r="G13" s="21"/>
      <c r="H13" s="21"/>
    </row>
    <row r="14" spans="1:8">
      <c r="A14" s="21"/>
      <c r="B14" s="21"/>
      <c r="C14" s="21"/>
      <c r="D14" s="21"/>
      <c r="E14" s="15" t="str">
        <f>'04_Similarweb'!A8</f>
        <v>mermaidchart.com</v>
      </c>
      <c r="F14" s="17">
        <f>'04_Similarweb'!J8</f>
        <v>4.0421538905731202E-3</v>
      </c>
      <c r="G14" s="21"/>
      <c r="H14" s="21"/>
    </row>
    <row r="15" spans="1:8">
      <c r="A15" s="21"/>
      <c r="B15" s="21"/>
      <c r="C15" s="21"/>
      <c r="D15" s="21"/>
      <c r="E15" s="16">
        <f>'04_Similarweb'!A9</f>
        <v>0</v>
      </c>
      <c r="F15" s="18">
        <f>'04_Similarweb'!J9</f>
        <v>0</v>
      </c>
      <c r="G15" s="21"/>
      <c r="H15" s="21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25"/>
  <cols>
    <col min="1" max="1" width="45.625" customWidth="1"/>
    <col min="2" max="3" width="55.625" customWidth="1"/>
    <col min="4" max="4" width="60.625" customWidth="1"/>
    <col min="5" max="5" width="18" customWidth="1"/>
    <col min="6" max="6" width="52.625" customWidth="1"/>
    <col min="7" max="7" width="53.625" customWidth="1"/>
    <col min="8" max="8" width="26.625" customWidth="1"/>
  </cols>
  <sheetData>
    <row r="1" spans="1:8">
      <c r="A1" s="36" t="s">
        <v>182</v>
      </c>
      <c r="B1" s="37"/>
      <c r="C1" s="37"/>
      <c r="D1" s="37"/>
      <c r="E1" s="37"/>
      <c r="F1" s="37"/>
      <c r="G1" s="37"/>
      <c r="H1" s="37"/>
    </row>
    <row r="2" spans="1:8" ht="15" customHeight="1">
      <c r="A2" s="38" t="s">
        <v>260</v>
      </c>
      <c r="B2" s="37"/>
      <c r="C2" s="37"/>
      <c r="D2" s="37"/>
      <c r="E2" s="37"/>
      <c r="F2" s="37"/>
      <c r="G2" s="37"/>
      <c r="H2" s="37"/>
    </row>
    <row r="3" spans="1:8">
      <c r="A3" s="21"/>
      <c r="B3" s="21"/>
      <c r="C3" s="21"/>
      <c r="D3" s="21"/>
      <c r="E3" s="21"/>
      <c r="F3" s="21"/>
      <c r="G3" s="21"/>
      <c r="H3" s="21"/>
    </row>
    <row r="4" spans="1:8" ht="15">
      <c r="A4" s="28" t="s">
        <v>183</v>
      </c>
      <c r="B4" s="29" t="s">
        <v>72</v>
      </c>
      <c r="C4" s="29" t="s">
        <v>184</v>
      </c>
      <c r="D4" s="29" t="s">
        <v>185</v>
      </c>
      <c r="E4" s="29" t="s">
        <v>186</v>
      </c>
      <c r="F4" s="29" t="s">
        <v>187</v>
      </c>
      <c r="G4" s="29" t="s">
        <v>5</v>
      </c>
      <c r="H4" s="30" t="s">
        <v>101</v>
      </c>
    </row>
    <row r="5" spans="1:8" ht="28.5">
      <c r="A5" s="31" t="s">
        <v>4</v>
      </c>
      <c r="B5" s="32" t="s">
        <v>265</v>
      </c>
      <c r="C5" s="32" t="s">
        <v>188</v>
      </c>
      <c r="D5" s="1" t="s">
        <v>189</v>
      </c>
      <c r="E5" s="32" t="s">
        <v>118</v>
      </c>
      <c r="F5" s="32" t="s">
        <v>190</v>
      </c>
      <c r="G5" s="32" t="s">
        <v>191</v>
      </c>
      <c r="H5" s="12" t="s">
        <v>192</v>
      </c>
    </row>
    <row r="6" spans="1:8" ht="28.5">
      <c r="A6" s="31" t="s">
        <v>4</v>
      </c>
      <c r="B6" s="32" t="s">
        <v>193</v>
      </c>
      <c r="C6" s="32" t="s">
        <v>194</v>
      </c>
      <c r="D6" s="1" t="s">
        <v>195</v>
      </c>
      <c r="E6" s="32" t="s">
        <v>118</v>
      </c>
      <c r="F6" s="32" t="s">
        <v>196</v>
      </c>
      <c r="G6" s="32" t="s">
        <v>197</v>
      </c>
      <c r="H6" s="12" t="s">
        <v>198</v>
      </c>
    </row>
    <row r="7" spans="1:8" ht="28.5">
      <c r="A7" s="31" t="s">
        <v>4</v>
      </c>
      <c r="B7" s="32" t="s">
        <v>199</v>
      </c>
      <c r="C7" s="32" t="s">
        <v>200</v>
      </c>
      <c r="D7" s="1" t="s">
        <v>201</v>
      </c>
      <c r="E7" s="32" t="s">
        <v>118</v>
      </c>
      <c r="F7" s="32" t="s">
        <v>202</v>
      </c>
      <c r="G7" s="32" t="s">
        <v>203</v>
      </c>
      <c r="H7" s="12" t="s">
        <v>198</v>
      </c>
    </row>
    <row r="8" spans="1:8">
      <c r="A8" s="31" t="s">
        <v>204</v>
      </c>
      <c r="B8" s="32" t="s">
        <v>205</v>
      </c>
      <c r="C8" s="32" t="s">
        <v>206</v>
      </c>
      <c r="D8" s="1"/>
      <c r="E8" s="32"/>
      <c r="F8" s="32" t="s">
        <v>207</v>
      </c>
      <c r="G8" s="32" t="s">
        <v>208</v>
      </c>
      <c r="H8" s="12" t="s">
        <v>102</v>
      </c>
    </row>
    <row r="9" spans="1:8">
      <c r="A9" s="31" t="s">
        <v>209</v>
      </c>
      <c r="B9" s="32" t="s">
        <v>210</v>
      </c>
      <c r="C9" s="32" t="s">
        <v>211</v>
      </c>
      <c r="D9" s="1"/>
      <c r="E9" s="32"/>
      <c r="F9" s="32" t="s">
        <v>212</v>
      </c>
      <c r="G9" s="32" t="s">
        <v>213</v>
      </c>
      <c r="H9" s="12" t="s">
        <v>102</v>
      </c>
    </row>
    <row r="10" spans="1:8">
      <c r="A10" s="33" t="s">
        <v>214</v>
      </c>
      <c r="B10" s="34" t="s">
        <v>215</v>
      </c>
      <c r="C10" s="34" t="s">
        <v>216</v>
      </c>
      <c r="D10" s="2"/>
      <c r="E10" s="34"/>
      <c r="F10" s="34" t="s">
        <v>217</v>
      </c>
      <c r="G10" s="34" t="s">
        <v>218</v>
      </c>
      <c r="H10" s="19" t="s">
        <v>103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02_Сверху_вниз</vt:lpstr>
      <vt:lpstr>03_Снизу_вверх</vt:lpstr>
      <vt:lpstr>04_Similarweb</vt:lpstr>
      <vt:lpstr>05_Воронка_SW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2026-10-04T16:53:23Z</dcterms:created>
  <dcterms:modified xsi:type="dcterms:W3CDTF">2026-10-04T19:30:02Z</dcterms:modified>
</cp:coreProperties>
</file>