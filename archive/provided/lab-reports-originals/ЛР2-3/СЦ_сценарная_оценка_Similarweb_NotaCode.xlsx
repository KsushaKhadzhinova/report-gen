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BE82C6EF-AF53-40E4-A299-F60B8E2055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Similarweb" sheetId="3" r:id="rId3"/>
    <sheet name="03_Сценарии" sheetId="4" r:id="rId4"/>
    <sheet name="04_Воронка" sheetId="5" r:id="rId5"/>
    <sheet name="05_Платформа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B5" i="8" l="1"/>
  <c r="B4" i="8"/>
  <c r="I7" i="5"/>
  <c r="G7" i="5"/>
  <c r="F7" i="5"/>
  <c r="D7" i="5"/>
  <c r="C7" i="5"/>
  <c r="I6" i="5"/>
  <c r="G6" i="5"/>
  <c r="F6" i="5"/>
  <c r="D6" i="5"/>
  <c r="C6" i="5"/>
  <c r="I5" i="5"/>
  <c r="G5" i="5"/>
  <c r="F5" i="5"/>
  <c r="D5" i="5"/>
  <c r="C5" i="5"/>
  <c r="D7" i="4"/>
  <c r="C7" i="4"/>
  <c r="B7" i="4"/>
  <c r="D6" i="4"/>
  <c r="C6" i="4"/>
  <c r="B6" i="4"/>
  <c r="D5" i="4"/>
  <c r="C5" i="4"/>
  <c r="B5" i="4"/>
  <c r="I8" i="3"/>
  <c r="I7" i="3"/>
  <c r="I6" i="3"/>
  <c r="I5" i="3"/>
  <c r="I9" i="3" l="1"/>
  <c r="E7" i="4" s="1"/>
  <c r="F7" i="4" s="1"/>
  <c r="G7" i="4" s="1"/>
  <c r="K8" i="3"/>
  <c r="J8" i="3"/>
  <c r="K7" i="3"/>
  <c r="J7" i="3"/>
  <c r="K6" i="3"/>
  <c r="J6" i="3"/>
  <c r="K5" i="3"/>
  <c r="J5" i="3"/>
  <c r="E5" i="4" l="1"/>
  <c r="F5" i="4" s="1"/>
  <c r="G5" i="4" s="1"/>
  <c r="E6" i="4"/>
  <c r="F6" i="4" s="1"/>
  <c r="G6" i="4" s="1"/>
  <c r="H7" i="4"/>
  <c r="I7" i="4"/>
  <c r="B7" i="5"/>
  <c r="E7" i="5" s="1"/>
  <c r="B7" i="6"/>
  <c r="D7" i="6" s="1"/>
  <c r="G7" i="6" s="1"/>
  <c r="G5" i="8"/>
  <c r="J9" i="3"/>
  <c r="H5" i="4" l="1"/>
  <c r="B5" i="6"/>
  <c r="D5" i="6" s="1"/>
  <c r="G5" i="6" s="1"/>
  <c r="E5" i="8"/>
  <c r="I5" i="4"/>
  <c r="B5" i="5"/>
  <c r="E5" i="5" s="1"/>
  <c r="H6" i="4"/>
  <c r="I6" i="4"/>
  <c r="B6" i="6"/>
  <c r="D6" i="6" s="1"/>
  <c r="G6" i="6" s="1"/>
  <c r="B6" i="8"/>
  <c r="B6" i="5"/>
  <c r="E6" i="5" s="1"/>
  <c r="F5" i="8"/>
  <c r="H7" i="5"/>
  <c r="D13" i="5"/>
  <c r="I7" i="6"/>
  <c r="G8" i="8"/>
  <c r="H6" i="5" l="1"/>
  <c r="C13" i="5"/>
  <c r="E8" i="8"/>
  <c r="I5" i="6"/>
  <c r="F8" i="8"/>
  <c r="I6" i="6"/>
  <c r="H5" i="5"/>
  <c r="B13" i="5"/>
  <c r="J7" i="5"/>
  <c r="D11" i="5"/>
  <c r="G6" i="8"/>
  <c r="K7" i="6"/>
  <c r="G9" i="8"/>
  <c r="F6" i="8" l="1"/>
  <c r="B7" i="8"/>
  <c r="C11" i="5"/>
  <c r="J6" i="5"/>
  <c r="B9" i="8"/>
  <c r="F9" i="8"/>
  <c r="K6" i="6"/>
  <c r="K5" i="6"/>
  <c r="E9" i="8"/>
  <c r="J5" i="5"/>
  <c r="B11" i="5"/>
  <c r="E6" i="8"/>
  <c r="D12" i="5"/>
  <c r="G7" i="8"/>
  <c r="D5" i="7"/>
  <c r="C12" i="5" l="1"/>
  <c r="C5" i="7"/>
  <c r="F7" i="8"/>
  <c r="B8" i="8"/>
  <c r="E7" i="8"/>
  <c r="B12" i="5"/>
  <c r="B5" i="7"/>
  <c r="D12" i="7"/>
  <c r="D13" i="7"/>
  <c r="D14" i="7"/>
  <c r="D15" i="7" l="1"/>
  <c r="C12" i="7"/>
  <c r="C13" i="7"/>
  <c r="B10" i="8" s="1"/>
  <c r="C14" i="7"/>
  <c r="B12" i="7"/>
  <c r="B14" i="7"/>
  <c r="B13" i="7"/>
  <c r="C15" i="7" l="1"/>
  <c r="B15" i="7"/>
</calcChain>
</file>

<file path=xl/sharedStrings.xml><?xml version="1.0" encoding="utf-8"?>
<sst xmlns="http://schemas.openxmlformats.org/spreadsheetml/2006/main" count="420" uniqueCount="288">
  <si>
    <t>Методика сценарной оценки рынка с учетом данных Similarweb: расчетный Excel-шаблон</t>
  </si>
  <si>
    <t>Назначение файла</t>
  </si>
  <si>
    <t>Ключевая логика</t>
  </si>
  <si>
    <t>Главный результат</t>
  </si>
  <si>
    <t>Важное ограничение</t>
  </si>
  <si>
    <t>Шаг</t>
  </si>
  <si>
    <t>Лист</t>
  </si>
  <si>
    <t>Что заполнить</t>
  </si>
  <si>
    <t>Что рассчитывается</t>
  </si>
  <si>
    <t>Какие данные Similarweb используются</t>
  </si>
  <si>
    <t>Ключевой результат</t>
  </si>
  <si>
    <t>Проверка качества</t>
  </si>
  <si>
    <t>Комментарий</t>
  </si>
  <si>
    <t>01_Параметры</t>
  </si>
  <si>
    <t>Бизнес-идея, география, валюта, период, средний чек</t>
  </si>
  <si>
    <t>Базовые вводные для всех расчетов</t>
  </si>
  <si>
    <t>Нет, только параметры проекта</t>
  </si>
  <si>
    <t>Единая исследовательская постановка</t>
  </si>
  <si>
    <t>Параметры не должны противоречить границам рынка</t>
  </si>
  <si>
    <t>Заполняется первым</t>
  </si>
  <si>
    <t>02_Similarweb</t>
  </si>
  <si>
    <t>Сайты конкурентов, посещаемость, доля географии, релевантность трафика</t>
  </si>
  <si>
    <t>Релевантный месячный и годовой трафик рынка</t>
  </si>
  <si>
    <t>Visits, geography, traffic channels, engagement</t>
  </si>
  <si>
    <t>База для сценариев</t>
  </si>
  <si>
    <t>Не менее 3–5 конкурентов</t>
  </si>
  <si>
    <t>При бесплатном доступе значения можно фиксировать вручную</t>
  </si>
  <si>
    <t>03_Сценарии</t>
  </si>
  <si>
    <t>Коэффициенты покрытия рынка, надежности и корректировки</t>
  </si>
  <si>
    <t>Сценарный объем релевантного трафика</t>
  </si>
  <si>
    <t>Суммарный релевантный трафик конкурентов</t>
  </si>
  <si>
    <t>Трафиковая оценка рынка</t>
  </si>
  <si>
    <t>Осторожный &lt; базовый &lt; оптимистичный</t>
  </si>
  <si>
    <t>Коэффициенты должны быть обоснованы</t>
  </si>
  <si>
    <t>04_Воронка</t>
  </si>
  <si>
    <t>Конверсии, средний чек, повторные покупки, достижимая доля</t>
  </si>
  <si>
    <t>Продажи, выручка рынка, достижимая выручка</t>
  </si>
  <si>
    <t>Релевантный рыночный трафик</t>
  </si>
  <si>
    <t>Денежная оценка рынка</t>
  </si>
  <si>
    <t>Проверить адекватность конверсий</t>
  </si>
  <si>
    <t>Главный лист для сервисного электронного бизнеса</t>
  </si>
  <si>
    <t>05_Платформа</t>
  </si>
  <si>
    <t>Регистрации, активность, сделки, средняя сумма сделки, комиссия</t>
  </si>
  <si>
    <t>GMV и выручка платформы</t>
  </si>
  <si>
    <t>Рыночный трафик как вход в платформу</t>
  </si>
  <si>
    <t>Отдельная модель для платформ</t>
  </si>
  <si>
    <t>Не смешивать GMV и выручку</t>
  </si>
  <si>
    <t>Используется при платформенной бизнес-модели</t>
  </si>
  <si>
    <t>06_Сверка</t>
  </si>
  <si>
    <t>При необходимости добавить оценки других методов</t>
  </si>
  <si>
    <t>Диапазон итоговой оценки</t>
  </si>
  <si>
    <t>Данные Similarweb как один из методов</t>
  </si>
  <si>
    <t>Итоговый рыночный диапазон</t>
  </si>
  <si>
    <t>Расхождения методов должны быть объяснены</t>
  </si>
  <si>
    <t>Завершающий аналитический лист</t>
  </si>
  <si>
    <t>07_Дашборд</t>
  </si>
  <si>
    <t>Не заполнять вручную</t>
  </si>
  <si>
    <t>Ключевые показатели и графики</t>
  </si>
  <si>
    <t>Автоматически из расчетных листов</t>
  </si>
  <si>
    <t>Итоговая панель вывода</t>
  </si>
  <si>
    <t>Проверить, что значения обновились</t>
  </si>
  <si>
    <t>Лист для отчета</t>
  </si>
  <si>
    <t>08_Источники</t>
  </si>
  <si>
    <t>Ссылки, дата обращения, комментарии</t>
  </si>
  <si>
    <t>Журнал воспроизводимости</t>
  </si>
  <si>
    <t>URL, дата, ограничения Similarweb</t>
  </si>
  <si>
    <t>Доказательная база расчета</t>
  </si>
  <si>
    <t>Источник должен быть указан для каждого блока данных</t>
  </si>
  <si>
    <t>Заполняется по мере анализа</t>
  </si>
  <si>
    <t>Исходные параметры сценарной оценки рынка</t>
  </si>
  <si>
    <t>Параметр</t>
  </si>
  <si>
    <t>Значение</t>
  </si>
  <si>
    <t>Единица</t>
  </si>
  <si>
    <t>Тип</t>
  </si>
  <si>
    <t>Источник / основание</t>
  </si>
  <si>
    <t>Название бизнес-идеи</t>
  </si>
  <si>
    <t>текст</t>
  </si>
  <si>
    <t>ввод</t>
  </si>
  <si>
    <t>Границы рынка / бизнес-гипотеза</t>
  </si>
  <si>
    <t>Можно заменить на свою бизнес-идею</t>
  </si>
  <si>
    <t>Географические границы</t>
  </si>
  <si>
    <t>Республика Беларусь</t>
  </si>
  <si>
    <t>Паспорт границ рынка</t>
  </si>
  <si>
    <t>Указать страну, город или регион</t>
  </si>
  <si>
    <t>Валюта расчета</t>
  </si>
  <si>
    <t>BYN</t>
  </si>
  <si>
    <t>Выбор исследователя</t>
  </si>
  <si>
    <t>Используется в денежных расчетах</t>
  </si>
  <si>
    <t>Период оценки</t>
  </si>
  <si>
    <t>месяцев</t>
  </si>
  <si>
    <t>Период Similarweb / анализа</t>
  </si>
  <si>
    <t>Обычно 12 месяцев</t>
  </si>
  <si>
    <t>Средний чек базовый</t>
  </si>
  <si>
    <t>Прайсы конкурентов / экспертная оценка</t>
  </si>
  <si>
    <t>Покупок в год на клиента</t>
  </si>
  <si>
    <t>раз</t>
  </si>
  <si>
    <t>Модель повторных покупок</t>
  </si>
  <si>
    <t>Для подписки может быть 12</t>
  </si>
  <si>
    <t>Доля целевой географии</t>
  </si>
  <si>
    <t>%</t>
  </si>
  <si>
    <t>Similarweb geography</t>
  </si>
  <si>
    <t>Доля релевантного трафика</t>
  </si>
  <si>
    <t>Similarweb channels / keywords</t>
  </si>
  <si>
    <t>Коэффициент качества трафика</t>
  </si>
  <si>
    <t>доля</t>
  </si>
  <si>
    <t>Engagement / экспертная оценка</t>
  </si>
  <si>
    <t>Дата заполнения</t>
  </si>
  <si>
    <t>дата</t>
  </si>
  <si>
    <t>Исследователь</t>
  </si>
  <si>
    <t>Обновлять при пересчете</t>
  </si>
  <si>
    <t>Параметр сценария</t>
  </si>
  <si>
    <t>Осторожный</t>
  </si>
  <si>
    <t>Базовый</t>
  </si>
  <si>
    <t>Оптимистичный</t>
  </si>
  <si>
    <t>Смысл параметра</t>
  </si>
  <si>
    <t>Охват неучтенных конкурентов</t>
  </si>
  <si>
    <t>Во сколько раз рынок шире набора найденных конкурентов</t>
  </si>
  <si>
    <t>Больше 1, если Similarweb охватывает не всех игроков</t>
  </si>
  <si>
    <t>Коэффициент надежности данных</t>
  </si>
  <si>
    <t>Поправка на оценочный характер данных Similarweb</t>
  </si>
  <si>
    <t>Для малых сайтов лучше снижать</t>
  </si>
  <si>
    <t>Корректировка на недоступный спрос</t>
  </si>
  <si>
    <t>Поправка на спрос вне сайтов конкурентов</t>
  </si>
  <si>
    <t>Может учитывать социальные сети, рекомендации, мессенджеры</t>
  </si>
  <si>
    <t>Конверсия визит → заявка</t>
  </si>
  <si>
    <t>Доля релевантных посещений, превращающихся в заявку</t>
  </si>
  <si>
    <t>Для услуг обычно ниже, чем для простых товаров</t>
  </si>
  <si>
    <t>Конверсия заявка → продажа</t>
  </si>
  <si>
    <t>Доля заявок, превращающихся в оплату</t>
  </si>
  <si>
    <t>Множитель среднего чека</t>
  </si>
  <si>
    <t>Корректирует базовый средний чек</t>
  </si>
  <si>
    <t>Используется для сценарного расчета</t>
  </si>
  <si>
    <t>Покупок в год</t>
  </si>
  <si>
    <t>Частота покупок / продлений в год</t>
  </si>
  <si>
    <t>Достижимая доля рынка</t>
  </si>
  <si>
    <t>Реально достижимая доля рынка новым бизнесом</t>
  </si>
  <si>
    <t>Используется для SOM</t>
  </si>
  <si>
    <t>Ввод и расчет данных Similarweb по конкурентам</t>
  </si>
  <si>
    <t>№</t>
  </si>
  <si>
    <t>Конкурент</t>
  </si>
  <si>
    <t>Домен</t>
  </si>
  <si>
    <t>Тип игрока</t>
  </si>
  <si>
    <t>Месячные посещения</t>
  </si>
  <si>
    <t>Коэффициент качества</t>
  </si>
  <si>
    <t>Релевантные посещения/год</t>
  </si>
  <si>
    <t>Доля среди учтенных конкурентов</t>
  </si>
  <si>
    <t>Источник данных</t>
  </si>
  <si>
    <t>Итого учтенные конкуренты</t>
  </si>
  <si>
    <t>Сценарный расчет рыночного трафика на основе Similarweb</t>
  </si>
  <si>
    <t>Сценарий</t>
  </si>
  <si>
    <t>Оценка рыночного трафика/год</t>
  </si>
  <si>
    <t>Нижняя граница/год</t>
  </si>
  <si>
    <t>Верхняя граница/год</t>
  </si>
  <si>
    <t>Интерпретация</t>
  </si>
  <si>
    <t>Минимальная оценка при неполном охвате и пониженной надежности данных</t>
  </si>
  <si>
    <t>Рабочая оценка при умеренных допущениях</t>
  </si>
  <si>
    <t>Верхняя оценка при широком рынке и благоприятных условиях</t>
  </si>
  <si>
    <t>Оценка объема рынка через цифровую воронку</t>
  </si>
  <si>
    <t>Рыночные визиты/год</t>
  </si>
  <si>
    <t>Продаж/год</t>
  </si>
  <si>
    <t>Средний чек</t>
  </si>
  <si>
    <t>Выручка рынка/год</t>
  </si>
  <si>
    <t>Достижимая доля</t>
  </si>
  <si>
    <t>Достижимая выручка/год</t>
  </si>
  <si>
    <t>TAM/SAM/SOM логика</t>
  </si>
  <si>
    <t>SAM → SOM</t>
  </si>
  <si>
    <t>Итог по воронке</t>
  </si>
  <si>
    <t>Платформенная модель: оценка GMV и выручки платформы</t>
  </si>
  <si>
    <t>Регистрация/лид</t>
  </si>
  <si>
    <t>Активные участники</t>
  </si>
  <si>
    <t>Сделок на участника/год</t>
  </si>
  <si>
    <t>Средняя сумма сделки</t>
  </si>
  <si>
    <t>GMV/год</t>
  </si>
  <si>
    <t>Комиссия платформы</t>
  </si>
  <si>
    <t>Выручка платформы/год</t>
  </si>
  <si>
    <t>Достижимая выручка платформы</t>
  </si>
  <si>
    <t>Сверка сценарной оценки рынка по нескольким подходам</t>
  </si>
  <si>
    <t>Метод оценки</t>
  </si>
  <si>
    <t>Similarweb → цифровая воронка</t>
  </si>
  <si>
    <t>Основная оценка для сервисного электронного бизнеса</t>
  </si>
  <si>
    <t>Similarweb → платформенная GMV-модель</t>
  </si>
  <si>
    <t>Поисковый спрос</t>
  </si>
  <si>
    <t>Количество потенциальных клиентов</t>
  </si>
  <si>
    <t>Сверху вниз / снизу вверх</t>
  </si>
  <si>
    <t>Итоговый диапазон</t>
  </si>
  <si>
    <t>Минимум по методам</t>
  </si>
  <si>
    <t>Нижняя граница с учетом всех подходов</t>
  </si>
  <si>
    <t>Среднее по методам</t>
  </si>
  <si>
    <t>Ориентир при сбалансированных допущениях</t>
  </si>
  <si>
    <t>Максимум по методам</t>
  </si>
  <si>
    <t>Верхняя граница с учетом всех подходов</t>
  </si>
  <si>
    <t>Рекомендуемый диапазон</t>
  </si>
  <si>
    <t>Диапазон для управленческого вывода</t>
  </si>
  <si>
    <t>Итоговая панель сценарной оценки рынка</t>
  </si>
  <si>
    <t>Показатель</t>
  </si>
  <si>
    <t>Сценарная сводка</t>
  </si>
  <si>
    <t>Бизнес-идея</t>
  </si>
  <si>
    <t>География</t>
  </si>
  <si>
    <t>Рыночный трафик/год</t>
  </si>
  <si>
    <t>Visits, Similarweb-based</t>
  </si>
  <si>
    <t>Базовый рыночный трафик/год</t>
  </si>
  <si>
    <t>Market revenue through funnel</t>
  </si>
  <si>
    <t>Базовая выручка рынка/год</t>
  </si>
  <si>
    <t>SOM</t>
  </si>
  <si>
    <t>Базовая достижимая выручка/год</t>
  </si>
  <si>
    <t>GMV платформы/год</t>
  </si>
  <si>
    <t>Only for platform model</t>
  </si>
  <si>
    <t>Базовая выручка платформы/год</t>
  </si>
  <si>
    <t>Commission revenue</t>
  </si>
  <si>
    <t>Итоговый средний ориентир</t>
  </si>
  <si>
    <t>Шаблон итогового вывода</t>
  </si>
  <si>
    <t>Журнал источников данных и ограничений</t>
  </si>
  <si>
    <t>Источник</t>
  </si>
  <si>
    <t>URL</t>
  </si>
  <si>
    <t>Какие данные используются</t>
  </si>
  <si>
    <t>Дата обращения</t>
  </si>
  <si>
    <t>Уровень надежности</t>
  </si>
  <si>
    <t>Комментарий / ограничение</t>
  </si>
  <si>
    <t>Similarweb Website Traffic Checker</t>
  </si>
  <si>
    <t>https://www.similarweb.com/website/</t>
  </si>
  <si>
    <t>Посещаемость сайта, каналы трафика, география, похожие сайты</t>
  </si>
  <si>
    <t>оценочные данные</t>
  </si>
  <si>
    <t>При бесплатном доступе доступен ограниченный набор показателей</t>
  </si>
  <si>
    <t>Similarweb Data Methodology</t>
  </si>
  <si>
    <t>https://support.similarweb.com/hc/en-us/articles/360001631538-Similarweb-Data-Methodology</t>
  </si>
  <si>
    <t>Методологическое описание природы данных Similarweb</t>
  </si>
  <si>
    <t>методологический источник</t>
  </si>
  <si>
    <t>Данные основаны на цифровых сигналах, синтезе и моделировании</t>
  </si>
  <si>
    <t>Similarweb Data Exporter</t>
  </si>
  <si>
    <t>https://support.similarweb.com/hc/en-us/articles/13252032019101-Data-Exporter</t>
  </si>
  <si>
    <t>Выгрузки, если доступна соответствующая подписка</t>
  </si>
  <si>
    <t>официальная справка</t>
  </si>
  <si>
    <t>Полные выгрузки зависят от тарифа и прав доступа</t>
  </si>
  <si>
    <t>Сайты конкурентов</t>
  </si>
  <si>
    <t>[вставить URL]</t>
  </si>
  <si>
    <t>Прайсы, услуги, средний чек, позиционирование</t>
  </si>
  <si>
    <t>проверяемый источник</t>
  </si>
  <si>
    <t>Требуется ручная фиксация даты и условий</t>
  </si>
  <si>
    <t>Google Trends / Яндекс Вордстат</t>
  </si>
  <si>
    <t>Проверка интереса аудитории и сезонности</t>
  </si>
  <si>
    <t>дополнительный источник</t>
  </si>
  <si>
    <t>Используется для сопоставления с Similarweb</t>
  </si>
  <si>
    <t>Допущение Д-01 (доля РФ по Similarweb × отношение запросов РБ/РФ в Вордстате); не используется формулами (П-13), доля вводится по доменам на листе 02</t>
  </si>
  <si>
    <t>Средневзвешенная по визитам; не используется формулами (П-13)</t>
  </si>
  <si>
    <t>Средневзвешенная; не используется формулами (П-13)</t>
  </si>
  <si>
    <t>Регистрация → оплата Pro: допущение проекта 3–5 % (вне шкалы Word СЦ 10–60 % и шкалы шаблона)</t>
  </si>
  <si>
    <t>PlantUML</t>
  </si>
  <si>
    <t>plantuml.com</t>
  </si>
  <si>
    <t>прямой (текстовый DSL)</t>
  </si>
  <si>
    <t>https://www.similarweb.com/website/plantuml.com/</t>
  </si>
  <si>
    <t>draw.io (diagrams.net)</t>
  </si>
  <si>
    <t>app.diagrams.net</t>
  </si>
  <si>
    <t>заменитель (визуальный редактор)</t>
  </si>
  <si>
    <t>https://www.similarweb.com/website/app.diagrams.net/</t>
  </si>
  <si>
    <t>Eraser</t>
  </si>
  <si>
    <t>eraser.io</t>
  </si>
  <si>
    <t>прямой (AI + diagram as code)</t>
  </si>
  <si>
    <t>https://www.similarweb.com/website/eraser.io/</t>
  </si>
  <si>
    <t>Mermaid Chart</t>
  </si>
  <si>
    <t>mermaidchart.com</t>
  </si>
  <si>
    <t>https://www.similarweb.com/website/mermaidchart.com/</t>
  </si>
  <si>
    <t>Не применяется: NotaCode не является платформой (решение В-3); строка в MIN / AVERAGE / MAX не включается (П-9)</t>
  </si>
  <si>
    <t>Результат ПК-X (SOM по сценариям, BYN/год)</t>
  </si>
  <si>
    <t>Уровень «рынок» (СВ-X, ПК-X SAM) сопоставляется отдельно; здесь только SOM (П-9)</t>
  </si>
  <si>
    <t>NotaCode – веб-IDE для построения и проверки диаграмм формальных нотаций как текста (подписка Free / Pro)</t>
  </si>
  <si>
    <t>Годовой тариф – одна оплата в год; для помесячного Pro – 12 оплат по 10,10 BYN (эквивалент годового тарифа; тот же результат)</t>
  </si>
  <si>
    <t>Pro: 40 у.е. × 3,0285 (НБРБ 30.09.2026)</t>
  </si>
  <si>
    <t>ФАКТ (Similarweb, авг. 2026, скриншот); период «последние 3 месяца» (августовское значение). Доля РБ – допущение Д-01, доля релевантного – Д-02</t>
  </si>
  <si>
    <t>Результат ПС-X (достижимая выручка через поисковый канал, BYN/год) – уровень SOM</t>
  </si>
  <si>
    <t>03.05.2026</t>
  </si>
  <si>
    <t>Позволяет рассчитать оценочный объем рынка электронного бизнеса по трем сценариям на основе данных Similarweb, цифровой воронки и платформенной модели</t>
  </si>
  <si>
    <t>Similarweb используется как источник цифровых признаков рынка: посещаемость конкурентов, география, каналы трафика, поисковые запросы и конкурентное окружение. Денежный объем рассчитывается через допущения по релевантности трафика, конверсиям и среднему чеку</t>
  </si>
  <si>
    <t>Диапазон оценки рынка: осторожный, базовый и оптимистичный сценарии; отдельно рассчитываются выручка через воронку и модель GMV для платформ</t>
  </si>
  <si>
    <t>Данные Similarweb являются оценочными. Итоговые значения следует рассматривать как расчетный диапазон, а не как точное измерение фактической емкости рынка</t>
  </si>
  <si>
    <t>Заполните строки по сайтам прямых и косвенных конкурентов. При бесплатном доступе данные фиксируются вручную из интерфейса Similarweb с указанием даты и ссылки на источник</t>
  </si>
  <si>
    <t>Релевантные посещения/мес</t>
  </si>
  <si>
    <t>Лист переводит суммарный релевантный трафик найденных конкурентов в оценку общего рыночного трафика по трем сценариям. Коэффициенты берутся из листа 01_Параметры</t>
  </si>
  <si>
    <t>Релевантный трафик конкурентов/мес</t>
  </si>
  <si>
    <t>Оценка рыночного трафика/мес</t>
  </si>
  <si>
    <t>Расчет переводит рыночный трафик Similarweb в заявки, продажи, годовую выручку рынка и достижимую выручку нового бизнеса</t>
  </si>
  <si>
    <t>Используйте этот лист, если электронный бизнес является платформой, агрегатором или маркетплейсом. GMV – это объем сделок через платформу, а не собственная выручка платформы</t>
  </si>
  <si>
    <t>Лист объединяет результаты Similarweb-воронки, платформенной модели и дополнительных методов. Значения дополнительных методов можно заменить собственными расчетами</t>
  </si>
  <si>
    <t>По результатам сценарной оценки рынок в выбранных границах следует описывать диапазоном, а не одним числом. Базовый расчет формируется на основе данных Similarweb о релевантном трафике конкурентов, дополненных допущениями по конверсиям, среднему чеку и достижимой доле рынка. Осторожный сценарий отражает минимальную оценку при неполном охвате и низких конверсиях, оптимистичный – верхнюю границу при благоприятных условиях. Итоговый вывод должен сопровождаться указанием источников данных и ограничений Similarweb</t>
  </si>
  <si>
    <t>отчет ЛР1, без скриншота; период «последние 3 месяца» (августовское значение). Доля РБ – допущение Д-01, доля релевантного – Д-02</t>
  </si>
  <si>
    <t>предварительный замер 17–23.09.2026, не подтвержден; период «последние 3 месяца» (августовское значение). Доля РБ – допущение Д-01, доля релевантного – Д-02</t>
  </si>
  <si>
    <t>предварительный замер: «менее 20 тыс.» (верхняя граница), не подтвержден; период «последние 3 месяца» (августовское значение). Доля РБ – допущение Д-01, доля релевантного – Д-02</t>
  </si>
  <si>
    <t>Выборка – 4 домена (&lt; 5, Word СЦ: 5–15); не собрано: Similarweb, минимум еще 6 доменов (plantuml.com подтвержден скриншотом, остальные – выгрузка ЛР1)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</si>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</sst>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&quot;BYN&quot;"/>
  </numFmts>
  <fonts count="8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17365D"/>
      <name val="Arial"/>
    </font>
    <font>
      <b/>
      <sz val="10"/>
      <color rgb="FF333333"/>
      <name val="Arial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3" fillId="4" borderId="0" xfId="1" applyFont="1" applyFill="1" applyAlignment="1">
      <alignment horizontal="left" vertical="top" wrapText="1"/>
    </xf>
    <xf numFmtId="0" fontId="6" fillId="4" borderId="0" xfId="1" applyFont="1" applyFill="1" applyAlignment="1">
      <alignment horizontal="left" vertical="top" wrapText="1"/>
    </xf>
    <xf numFmtId="0" fontId="2" fillId="0" borderId="0" xfId="1" applyFont="1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2" fillId="0" borderId="0" xfId="1" applyFont="1" applyAlignment="1">
      <alignment horizontal="center" vertical="top" wrapText="1"/>
    </xf>
    <xf numFmtId="0" fontId="4" fillId="5" borderId="0" xfId="1" applyFont="1" applyFill="1" applyAlignment="1">
      <alignment horizontal="center" vertical="top" wrapText="1"/>
    </xf>
    <xf numFmtId="0" fontId="4" fillId="6" borderId="0" xfId="1" applyFont="1" applyFill="1" applyAlignment="1">
      <alignment horizontal="left" vertical="top" wrapText="1"/>
    </xf>
    <xf numFmtId="2" fontId="4" fillId="6" borderId="0" xfId="1" applyNumberFormat="1" applyFont="1" applyFill="1" applyAlignment="1">
      <alignment horizontal="left" vertical="top" wrapText="1"/>
    </xf>
    <xf numFmtId="9" fontId="4" fillId="6" borderId="0" xfId="1" applyNumberFormat="1" applyFont="1" applyFill="1" applyAlignment="1">
      <alignment horizontal="left" vertical="top" wrapText="1"/>
    </xf>
    <xf numFmtId="164" fontId="4" fillId="6" borderId="0" xfId="1" applyNumberFormat="1" applyFont="1" applyFill="1" applyAlignment="1">
      <alignment horizontal="left" vertical="top" wrapText="1"/>
    </xf>
    <xf numFmtId="10" fontId="4" fillId="6" borderId="0" xfId="1" applyNumberFormat="1" applyFont="1" applyFill="1" applyAlignment="1">
      <alignment horizontal="left" vertical="top" wrapText="1"/>
    </xf>
    <xf numFmtId="0" fontId="2" fillId="7" borderId="0" xfId="1" applyFont="1" applyFill="1" applyAlignment="1">
      <alignment vertical="top" wrapText="1"/>
    </xf>
    <xf numFmtId="3" fontId="2" fillId="7" borderId="0" xfId="1" applyNumberFormat="1" applyFont="1" applyFill="1" applyAlignment="1">
      <alignment vertical="top" wrapText="1"/>
    </xf>
    <xf numFmtId="9" fontId="2" fillId="7" borderId="0" xfId="1" applyNumberFormat="1" applyFont="1" applyFill="1" applyAlignment="1">
      <alignment vertical="top" wrapText="1"/>
    </xf>
    <xf numFmtId="3" fontId="4" fillId="5" borderId="0" xfId="1" applyNumberFormat="1" applyFont="1" applyFill="1" applyAlignment="1">
      <alignment horizontal="center" vertical="top" wrapText="1"/>
    </xf>
    <xf numFmtId="10" fontId="4" fillId="5" borderId="0" xfId="1" applyNumberFormat="1" applyFont="1" applyFill="1" applyAlignment="1">
      <alignment horizontal="center" vertical="top" wrapText="1"/>
    </xf>
    <xf numFmtId="4" fontId="4" fillId="6" borderId="0" xfId="1" applyNumberFormat="1" applyFont="1" applyFill="1" applyAlignment="1">
      <alignment horizontal="left" vertical="top" wrapText="1"/>
    </xf>
    <xf numFmtId="165" fontId="4" fillId="6" borderId="0" xfId="1" applyNumberFormat="1" applyFont="1" applyFill="1" applyAlignment="1">
      <alignment horizontal="left" vertical="top" wrapText="1"/>
    </xf>
    <xf numFmtId="165" fontId="4" fillId="5" borderId="0" xfId="1" applyNumberFormat="1" applyFont="1" applyFill="1" applyAlignment="1">
      <alignment horizontal="center" vertical="top" wrapText="1"/>
    </xf>
    <xf numFmtId="165" fontId="2" fillId="0" borderId="0" xfId="1" applyNumberFormat="1" applyFont="1" applyAlignment="1">
      <alignment vertical="top" wrapText="1"/>
    </xf>
    <xf numFmtId="165" fontId="1" fillId="3" borderId="0" xfId="1" applyNumberFormat="1" applyFont="1" applyFill="1" applyAlignment="1">
      <alignment horizontal="center" vertical="top" wrapText="1"/>
    </xf>
    <xf numFmtId="49" fontId="2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5" fillId="8" borderId="0" xfId="1" applyFont="1" applyFill="1" applyAlignment="1">
      <alignment horizontal="left" vertical="top" wrapText="1"/>
    </xf>
    <xf numFmtId="0" fontId="3" fillId="4" borderId="0" xfId="1" applyFont="1" applyFill="1" applyAlignment="1">
      <alignment horizontal="left" vertical="top" wrapText="1"/>
    </xf>
  </cellXfs>
  <cellStyles count="2">
    <cellStyle name="Normal" xfId="1" xr:uid="{00000000-0005-0000-0000-000000000000}"/>
    <cellStyle name="Обычный" xfId="0" builtinId="0"/>
  </cellStyles>
  <dxfs count="77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Достижимая выручка</c:v>
          </c:tx>
          <c:invertIfNegative val="1"/>
          <c:cat>
            <c:strRef>
              <c:f>'07_Дашборд'!$E$4:$G$4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'07_Дашборд'!$E$7:$G$7</c:f>
              <c:numCache>
                <c:formatCode>#,##0\ "BYN"</c:formatCode>
                <c:ptCount val="3"/>
                <c:pt idx="0">
                  <c:v>3.5539473519902889</c:v>
                </c:pt>
                <c:pt idx="1">
                  <c:v>98.137409833368196</c:v>
                </c:pt>
                <c:pt idx="2">
                  <c:v>1393.3089050416474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D-49AB-A7ED-5DC2CE124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BYN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ilarwebCompetitors" displayName="SimilarwebCompetitors" ref="A4:M8" headerRowDxfId="76" dataDxfId="75" totalsRowDxfId="74">
  <tableColumns count="13">
    <tableColumn id="1" xr3:uid="{00000000-0010-0000-0000-000001000000}" name="№" dataDxfId="73"/>
    <tableColumn id="2" xr3:uid="{00000000-0010-0000-0000-000002000000}" name="Конкурент" dataDxfId="72"/>
    <tableColumn id="3" xr3:uid="{00000000-0010-0000-0000-000003000000}" name="Домен" dataDxfId="71"/>
    <tableColumn id="4" xr3:uid="{00000000-0010-0000-0000-000004000000}" name="Тип игрока" dataDxfId="70"/>
    <tableColumn id="5" xr3:uid="{00000000-0010-0000-0000-000005000000}" name="Месячные посещения" dataDxfId="69"/>
    <tableColumn id="6" xr3:uid="{00000000-0010-0000-0000-000006000000}" name="Доля целевой географии" dataDxfId="68"/>
    <tableColumn id="7" xr3:uid="{00000000-0010-0000-0000-000007000000}" name="Доля релевантного трафика" dataDxfId="67"/>
    <tableColumn id="8" xr3:uid="{00000000-0010-0000-0000-000008000000}" name="Коэффициент качества" dataDxfId="66"/>
    <tableColumn id="9" xr3:uid="{00000000-0010-0000-0000-000009000000}" name="Релевантные посещения/мес" dataDxfId="65"/>
    <tableColumn id="10" xr3:uid="{00000000-0010-0000-0000-00000A000000}" name="Релевантные посещения/год" dataDxfId="64"/>
    <tableColumn id="11" xr3:uid="{00000000-0010-0000-0000-00000B000000}" name="Доля среди учтенных конкурентов" dataDxfId="63"/>
    <tableColumn id="12" xr3:uid="{00000000-0010-0000-0000-00000C000000}" name="Источник данных" dataDxfId="62"/>
    <tableColumn id="13" xr3:uid="{00000000-0010-0000-0000-00000D000000}" name="Комментарий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raffic" displayName="ScenarioTraffic" ref="A4:K7" headerRowDxfId="60" dataDxfId="59" totalsRowDxfId="58">
  <tableColumns count="11">
    <tableColumn id="1" xr3:uid="{00000000-0010-0000-0100-000001000000}" name="Сценарий" dataDxfId="57"/>
    <tableColumn id="2" xr3:uid="{00000000-0010-0000-0100-000002000000}" name="Охват неучтенных конкурентов" dataDxfId="56"/>
    <tableColumn id="3" xr3:uid="{00000000-0010-0000-0100-000003000000}" name="Коэффициент надежности данных" dataDxfId="55"/>
    <tableColumn id="4" xr3:uid="{00000000-0010-0000-0100-000004000000}" name="Корректировка на недоступный спрос" dataDxfId="54"/>
    <tableColumn id="5" xr3:uid="{00000000-0010-0000-0100-000005000000}" name="Релевантный трафик конкурентов/мес" dataDxfId="53"/>
    <tableColumn id="6" xr3:uid="{00000000-0010-0000-0100-000006000000}" name="Оценка рыночного трафика/мес" dataDxfId="52"/>
    <tableColumn id="7" xr3:uid="{00000000-0010-0000-0100-000007000000}" name="Оценка рыночного трафика/год" dataDxfId="51"/>
    <tableColumn id="8" xr3:uid="{00000000-0010-0000-0100-000008000000}" name="Нижняя граница/год" dataDxfId="50"/>
    <tableColumn id="9" xr3:uid="{00000000-0010-0000-0100-000009000000}" name="Верхняя граница/год" dataDxfId="49"/>
    <tableColumn id="10" xr3:uid="{00000000-0010-0000-0100-00000A000000}" name="Интерпретация" dataDxfId="48"/>
    <tableColumn id="11" xr3:uid="{00000000-0010-0000-0100-00000B000000}" name="Комментарий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nelScenarios" displayName="FunnelScenarios" ref="A4:L7" headerRowDxfId="46" dataDxfId="45" totalsRowDxfId="44">
  <tableColumns count="12">
    <tableColumn id="1" xr3:uid="{00000000-0010-0000-0200-000001000000}" name="Сценарий" dataDxfId="43"/>
    <tableColumn id="2" xr3:uid="{00000000-0010-0000-0200-000002000000}" name="Рыночные визиты/год" dataDxfId="42"/>
    <tableColumn id="3" xr3:uid="{00000000-0010-0000-0200-000003000000}" name="Конверсия визит → заявка" dataDxfId="41"/>
    <tableColumn id="4" xr3:uid="{00000000-0010-0000-0200-000004000000}" name="Конверсия заявка → продажа" dataDxfId="40"/>
    <tableColumn id="5" xr3:uid="{00000000-0010-0000-0200-000005000000}" name="Продаж/год" dataDxfId="39"/>
    <tableColumn id="6" xr3:uid="{00000000-0010-0000-0200-000006000000}" name="Средний чек" dataDxfId="38"/>
    <tableColumn id="7" xr3:uid="{00000000-0010-0000-0200-000007000000}" name="Покупок в год" dataDxfId="37"/>
    <tableColumn id="8" xr3:uid="{00000000-0010-0000-0200-000008000000}" name="Выручка рынка/год" dataDxfId="36"/>
    <tableColumn id="9" xr3:uid="{00000000-0010-0000-0200-000009000000}" name="Достижимая доля" dataDxfId="35"/>
    <tableColumn id="10" xr3:uid="{00000000-0010-0000-0200-00000A000000}" name="Достижимая выручка/год" dataDxfId="34"/>
    <tableColumn id="11" xr3:uid="{00000000-0010-0000-0200-00000B000000}" name="TAM/SAM/SOM логика" dataDxfId="33"/>
    <tableColumn id="12" xr3:uid="{00000000-0010-0000-0200-00000C000000}" name="Комментарий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latformScenarios" displayName="PlatformScenarios" ref="A4:K7" headerRowDxfId="31" dataDxfId="30" totalsRowDxfId="29">
  <tableColumns count="11">
    <tableColumn id="1" xr3:uid="{00000000-0010-0000-0300-000001000000}" name="Сценарий" dataDxfId="28"/>
    <tableColumn id="2" xr3:uid="{00000000-0010-0000-0300-000002000000}" name="Рыночные визиты/год" dataDxfId="27"/>
    <tableColumn id="3" xr3:uid="{00000000-0010-0000-0300-000003000000}" name="Регистрация/лид" dataDxfId="26"/>
    <tableColumn id="4" xr3:uid="{00000000-0010-0000-0300-000004000000}" name="Активные участники" dataDxfId="25"/>
    <tableColumn id="5" xr3:uid="{00000000-0010-0000-0300-000005000000}" name="Сделок на участника/год" dataDxfId="24"/>
    <tableColumn id="6" xr3:uid="{00000000-0010-0000-0300-000006000000}" name="Средняя сумма сделки" dataDxfId="23"/>
    <tableColumn id="7" xr3:uid="{00000000-0010-0000-0300-000007000000}" name="GMV/год" dataDxfId="22"/>
    <tableColumn id="8" xr3:uid="{00000000-0010-0000-0300-000008000000}" name="Комиссия платформы" dataDxfId="21"/>
    <tableColumn id="9" xr3:uid="{00000000-0010-0000-0300-000009000000}" name="Выручка платформы/год" dataDxfId="20"/>
    <tableColumn id="10" xr3:uid="{00000000-0010-0000-0300-00000A000000}" name="Достижимая доля" dataDxfId="19"/>
    <tableColumn id="11" xr3:uid="{00000000-0010-0000-0300-00000B000000}" name="Достижимая выручка платформы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Comparison" displayName="MethodComparison" ref="A4:E9" headerRowDxfId="17" dataDxfId="16" totalsRowDxfId="15">
  <tableColumns count="5">
    <tableColumn id="1" xr3:uid="{00000000-0010-0000-0400-000001000000}" name="Метод оценки" dataDxfId="14"/>
    <tableColumn id="2" xr3:uid="{00000000-0010-0000-0400-000002000000}" name="Осторожный" dataDxfId="13"/>
    <tableColumn id="3" xr3:uid="{00000000-0010-0000-0400-000003000000}" name="Базовый" dataDxfId="12"/>
    <tableColumn id="4" xr3:uid="{00000000-0010-0000-0400-000004000000}" name="Оптимистичный" dataDxfId="11"/>
    <tableColumn id="5" xr3:uid="{00000000-0010-0000-0400-000005000000}" name="Комментарий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sLog" displayName="SourcesLog" ref="A3:G8" headerRowDxfId="9" dataDxfId="8" totalsRowDxfId="7">
  <tableColumns count="7">
    <tableColumn id="1" xr3:uid="{00000000-0010-0000-0500-000001000000}" name="№" dataDxfId="6"/>
    <tableColumn id="2" xr3:uid="{00000000-0010-0000-0500-000002000000}" name="Источник" dataDxfId="5"/>
    <tableColumn id="3" xr3:uid="{00000000-0010-0000-0500-000003000000}" name="URL" dataDxfId="4"/>
    <tableColumn id="4" xr3:uid="{00000000-0010-0000-0500-000004000000}" name="Какие данные используются" dataDxfId="3"/>
    <tableColumn id="5" xr3:uid="{00000000-0010-0000-0500-000005000000}" name="Дата обращения" dataDxfId="2"/>
    <tableColumn id="6" xr3:uid="{00000000-0010-0000-0500-000006000000}" name="Уровень надежности" dataDxfId="1"/>
    <tableColumn id="7" xr3:uid="{00000000-0010-0000-0500-000007000000}" name="Комментарий / ограни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sqref="A1:H1"/>
    </sheetView>
  </sheetViews>
  <sheetFormatPr defaultRowHeight="14.25"/>
  <cols>
    <col min="1" max="3" width="55.625" customWidth="1"/>
    <col min="4" max="4" width="46.625" customWidth="1"/>
    <col min="5" max="5" width="50.625" customWidth="1"/>
    <col min="6" max="6" width="37.625" customWidth="1"/>
    <col min="7" max="8" width="55.625" customWidth="1"/>
    <col min="9" max="15" width="9.625" customWidth="1"/>
  </cols>
  <sheetData>
    <row r="1" spans="1:15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38.25">
      <c r="A3" s="4" t="s">
        <v>1</v>
      </c>
      <c r="B3" s="1" t="s">
        <v>270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63.75">
      <c r="A4" s="4" t="s">
        <v>2</v>
      </c>
      <c r="B4" s="1" t="s">
        <v>271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38.25">
      <c r="A5" s="4" t="s">
        <v>3</v>
      </c>
      <c r="B5" s="1" t="s">
        <v>272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38.25">
      <c r="A6" s="4" t="s">
        <v>4</v>
      </c>
      <c r="B6" s="1" t="s">
        <v>273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3"/>
      <c r="J8" s="3"/>
      <c r="K8" s="3"/>
      <c r="L8" s="3"/>
      <c r="M8" s="3"/>
      <c r="N8" s="3"/>
      <c r="O8" s="3"/>
    </row>
    <row r="9" spans="1:15">
      <c r="A9" s="5">
        <v>1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/>
      <c r="J9" s="3"/>
      <c r="K9" s="3"/>
      <c r="L9" s="3"/>
      <c r="M9" s="3"/>
      <c r="N9" s="3"/>
      <c r="O9" s="3"/>
    </row>
    <row r="10" spans="1:15" ht="25.5">
      <c r="A10" s="5">
        <v>2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/>
      <c r="J10" s="3"/>
      <c r="K10" s="3"/>
      <c r="L10" s="3"/>
      <c r="M10" s="3"/>
      <c r="N10" s="3"/>
      <c r="O10" s="3"/>
    </row>
    <row r="11" spans="1:15">
      <c r="A11" s="5">
        <v>3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33</v>
      </c>
      <c r="I11" s="3"/>
      <c r="J11" s="3"/>
      <c r="K11" s="3"/>
      <c r="L11" s="3"/>
      <c r="M11" s="3"/>
      <c r="N11" s="3"/>
      <c r="O11" s="3"/>
    </row>
    <row r="12" spans="1:15">
      <c r="A12" s="5">
        <v>4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3" t="s">
        <v>39</v>
      </c>
      <c r="H12" s="3" t="s">
        <v>40</v>
      </c>
      <c r="I12" s="3"/>
      <c r="J12" s="3"/>
      <c r="K12" s="3"/>
      <c r="L12" s="3"/>
      <c r="M12" s="3"/>
      <c r="N12" s="3"/>
      <c r="O12" s="3"/>
    </row>
    <row r="13" spans="1:15">
      <c r="A13" s="5">
        <v>5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  <c r="G13" s="3" t="s">
        <v>46</v>
      </c>
      <c r="H13" s="3" t="s">
        <v>47</v>
      </c>
      <c r="I13" s="3"/>
      <c r="J13" s="3"/>
      <c r="K13" s="3"/>
      <c r="L13" s="3"/>
      <c r="M13" s="3"/>
      <c r="N13" s="3"/>
      <c r="O13" s="3"/>
    </row>
    <row r="14" spans="1:15">
      <c r="A14" s="5">
        <v>6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54</v>
      </c>
      <c r="I14" s="3"/>
      <c r="J14" s="3"/>
      <c r="K14" s="3"/>
      <c r="L14" s="3"/>
      <c r="M14" s="3"/>
      <c r="N14" s="3"/>
      <c r="O14" s="3"/>
    </row>
    <row r="15" spans="1:15">
      <c r="A15" s="5">
        <v>7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59</v>
      </c>
      <c r="G15" s="3" t="s">
        <v>60</v>
      </c>
      <c r="H15" s="3" t="s">
        <v>61</v>
      </c>
      <c r="I15" s="3"/>
      <c r="J15" s="3"/>
      <c r="K15" s="3"/>
      <c r="L15" s="3"/>
      <c r="M15" s="3"/>
      <c r="N15" s="3"/>
      <c r="O15" s="3"/>
    </row>
    <row r="16" spans="1:15">
      <c r="A16" s="5">
        <v>8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67</v>
      </c>
      <c r="H16" s="3" t="s">
        <v>68</v>
      </c>
      <c r="I16" s="3"/>
      <c r="J16" s="3"/>
      <c r="K16" s="3"/>
      <c r="L16" s="3"/>
      <c r="M16" s="3"/>
      <c r="N16" s="3"/>
      <c r="O16" s="3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/>
  </sheetViews>
  <sheetFormatPr defaultRowHeight="14.25"/>
  <cols>
    <col min="1" max="1" width="44.625" customWidth="1"/>
    <col min="2" max="2" width="55.625" customWidth="1"/>
    <col min="3" max="3" width="15" customWidth="1"/>
    <col min="4" max="4" width="17" customWidth="1"/>
    <col min="5" max="6" width="55.625" customWidth="1"/>
    <col min="7" max="15" width="9.625" customWidth="1"/>
  </cols>
  <sheetData>
    <row r="1" spans="1:15" ht="15" customHeight="1">
      <c r="A1" s="23" t="s">
        <v>69</v>
      </c>
      <c r="B1" s="23"/>
      <c r="C1" s="23"/>
      <c r="D1" s="23"/>
      <c r="E1" s="23"/>
      <c r="F1" s="2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12</v>
      </c>
      <c r="G3" s="3"/>
      <c r="H3" s="3"/>
      <c r="I3" s="3"/>
      <c r="J3" s="3"/>
      <c r="K3" s="3"/>
      <c r="L3" s="3"/>
      <c r="M3" s="3"/>
      <c r="N3" s="3"/>
      <c r="O3" s="3"/>
    </row>
    <row r="4" spans="1:15" ht="25.5">
      <c r="A4" s="6" t="s">
        <v>75</v>
      </c>
      <c r="B4" s="7" t="s">
        <v>264</v>
      </c>
      <c r="C4" s="3" t="s">
        <v>76</v>
      </c>
      <c r="D4" s="5" t="s">
        <v>77</v>
      </c>
      <c r="E4" s="3" t="s">
        <v>78</v>
      </c>
      <c r="F4" s="3" t="s">
        <v>79</v>
      </c>
      <c r="G4" s="3"/>
      <c r="H4" s="3"/>
      <c r="I4" s="3"/>
      <c r="J4" s="3"/>
      <c r="K4" s="3"/>
      <c r="L4" s="3"/>
      <c r="M4" s="3"/>
      <c r="N4" s="3"/>
      <c r="O4" s="3"/>
    </row>
    <row r="5" spans="1:15">
      <c r="A5" s="6" t="s">
        <v>80</v>
      </c>
      <c r="B5" s="7" t="s">
        <v>81</v>
      </c>
      <c r="C5" s="3" t="s">
        <v>76</v>
      </c>
      <c r="D5" s="5" t="s">
        <v>77</v>
      </c>
      <c r="E5" s="3" t="s">
        <v>82</v>
      </c>
      <c r="F5" s="3" t="s">
        <v>83</v>
      </c>
      <c r="G5" s="3"/>
      <c r="H5" s="3"/>
      <c r="I5" s="3"/>
      <c r="J5" s="3"/>
      <c r="K5" s="3"/>
      <c r="L5" s="3"/>
      <c r="M5" s="3"/>
      <c r="N5" s="3"/>
      <c r="O5" s="3"/>
    </row>
    <row r="6" spans="1:15">
      <c r="A6" s="6" t="s">
        <v>84</v>
      </c>
      <c r="B6" s="7" t="s">
        <v>85</v>
      </c>
      <c r="C6" s="3" t="s">
        <v>76</v>
      </c>
      <c r="D6" s="5" t="s">
        <v>77</v>
      </c>
      <c r="E6" s="3" t="s">
        <v>86</v>
      </c>
      <c r="F6" s="3" t="s">
        <v>87</v>
      </c>
      <c r="G6" s="3"/>
      <c r="H6" s="3"/>
      <c r="I6" s="3"/>
      <c r="J6" s="3"/>
      <c r="K6" s="3"/>
      <c r="L6" s="3"/>
      <c r="M6" s="3"/>
      <c r="N6" s="3"/>
      <c r="O6" s="3"/>
    </row>
    <row r="7" spans="1:15">
      <c r="A7" s="6" t="s">
        <v>88</v>
      </c>
      <c r="B7" s="7">
        <v>12</v>
      </c>
      <c r="C7" s="3" t="s">
        <v>89</v>
      </c>
      <c r="D7" s="5" t="s">
        <v>77</v>
      </c>
      <c r="E7" s="3" t="s">
        <v>90</v>
      </c>
      <c r="F7" s="3" t="s">
        <v>91</v>
      </c>
      <c r="G7" s="3"/>
      <c r="H7" s="3"/>
      <c r="I7" s="3"/>
      <c r="J7" s="3"/>
      <c r="K7" s="3"/>
      <c r="L7" s="3"/>
      <c r="M7" s="3"/>
      <c r="N7" s="3"/>
      <c r="O7" s="3"/>
    </row>
    <row r="8" spans="1:15">
      <c r="A8" s="6" t="s">
        <v>92</v>
      </c>
      <c r="B8" s="8">
        <v>121.14</v>
      </c>
      <c r="C8" s="3" t="s">
        <v>85</v>
      </c>
      <c r="D8" s="5" t="s">
        <v>77</v>
      </c>
      <c r="E8" s="3" t="s">
        <v>93</v>
      </c>
      <c r="F8" s="3" t="s">
        <v>266</v>
      </c>
      <c r="G8" s="3"/>
      <c r="H8" s="3"/>
      <c r="I8" s="3"/>
      <c r="J8" s="3"/>
      <c r="K8" s="3"/>
      <c r="L8" s="3"/>
      <c r="M8" s="3"/>
      <c r="N8" s="3"/>
      <c r="O8" s="3"/>
    </row>
    <row r="9" spans="1:15" ht="25.5">
      <c r="A9" s="6" t="s">
        <v>94</v>
      </c>
      <c r="B9" s="8">
        <v>1</v>
      </c>
      <c r="C9" s="3" t="s">
        <v>95</v>
      </c>
      <c r="D9" s="5" t="s">
        <v>77</v>
      </c>
      <c r="E9" s="3" t="s">
        <v>96</v>
      </c>
      <c r="F9" s="3" t="s">
        <v>265</v>
      </c>
      <c r="G9" s="3"/>
      <c r="H9" s="3"/>
      <c r="I9" s="3"/>
      <c r="J9" s="3"/>
      <c r="K9" s="3"/>
      <c r="L9" s="3"/>
      <c r="M9" s="3"/>
      <c r="N9" s="3"/>
      <c r="O9" s="3"/>
    </row>
    <row r="10" spans="1:15" ht="38.25">
      <c r="A10" s="6" t="s">
        <v>98</v>
      </c>
      <c r="B10" s="9">
        <v>1.9580000000000001E-3</v>
      </c>
      <c r="C10" s="3" t="s">
        <v>99</v>
      </c>
      <c r="D10" s="5" t="s">
        <v>77</v>
      </c>
      <c r="E10" s="3" t="s">
        <v>100</v>
      </c>
      <c r="F10" s="3" t="s">
        <v>242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6" t="s">
        <v>101</v>
      </c>
      <c r="B11" s="9">
        <v>0.3846</v>
      </c>
      <c r="C11" s="3" t="s">
        <v>99</v>
      </c>
      <c r="D11" s="5" t="s">
        <v>77</v>
      </c>
      <c r="E11" s="3" t="s">
        <v>102</v>
      </c>
      <c r="F11" s="3" t="s">
        <v>243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 t="s">
        <v>103</v>
      </c>
      <c r="B12" s="9">
        <v>0.90529999999999999</v>
      </c>
      <c r="C12" s="3" t="s">
        <v>104</v>
      </c>
      <c r="D12" s="5" t="s">
        <v>77</v>
      </c>
      <c r="E12" s="3" t="s">
        <v>105</v>
      </c>
      <c r="F12" s="3" t="s">
        <v>244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6" t="s">
        <v>106</v>
      </c>
      <c r="B13" s="10">
        <v>46294.875</v>
      </c>
      <c r="C13" s="3" t="s">
        <v>107</v>
      </c>
      <c r="D13" s="5" t="s">
        <v>77</v>
      </c>
      <c r="E13" s="3" t="s">
        <v>108</v>
      </c>
      <c r="F13" s="3" t="s">
        <v>109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4" t="s">
        <v>110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12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6" t="s">
        <v>115</v>
      </c>
      <c r="B16" s="8">
        <v>1.1000000000000001</v>
      </c>
      <c r="C16" s="8">
        <v>1.35</v>
      </c>
      <c r="D16" s="8">
        <v>1.8</v>
      </c>
      <c r="E16" s="3" t="s">
        <v>116</v>
      </c>
      <c r="F16" s="3" t="s">
        <v>117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6" t="s">
        <v>118</v>
      </c>
      <c r="B17" s="8">
        <v>0.75</v>
      </c>
      <c r="C17" s="8">
        <v>0.9</v>
      </c>
      <c r="D17" s="8">
        <v>1</v>
      </c>
      <c r="E17" s="3" t="s">
        <v>119</v>
      </c>
      <c r="F17" s="3" t="s">
        <v>120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6" t="s">
        <v>121</v>
      </c>
      <c r="B18" s="8">
        <v>0.8</v>
      </c>
      <c r="C18" s="8">
        <v>1</v>
      </c>
      <c r="D18" s="8">
        <v>1.1499999999999999</v>
      </c>
      <c r="E18" s="3" t="s">
        <v>122</v>
      </c>
      <c r="F18" s="3" t="s">
        <v>123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6" t="s">
        <v>124</v>
      </c>
      <c r="B19" s="11">
        <v>5.0000000000000001E-3</v>
      </c>
      <c r="C19" s="11">
        <v>1.4999999999999999E-2</v>
      </c>
      <c r="D19" s="11">
        <v>0.03</v>
      </c>
      <c r="E19" s="3" t="s">
        <v>125</v>
      </c>
      <c r="F19" s="3" t="s">
        <v>126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ht="25.5">
      <c r="A20" s="6" t="s">
        <v>127</v>
      </c>
      <c r="B20" s="11">
        <v>0.03</v>
      </c>
      <c r="C20" s="11">
        <v>0.04</v>
      </c>
      <c r="D20" s="11">
        <v>0.05</v>
      </c>
      <c r="E20" s="3" t="s">
        <v>128</v>
      </c>
      <c r="F20" s="3" t="s">
        <v>245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6" t="s">
        <v>129</v>
      </c>
      <c r="B21" s="8">
        <v>0.8</v>
      </c>
      <c r="C21" s="8">
        <v>1</v>
      </c>
      <c r="D21" s="8">
        <v>1.25</v>
      </c>
      <c r="E21" s="3" t="s">
        <v>130</v>
      </c>
      <c r="F21" s="3" t="s">
        <v>131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6" t="s">
        <v>132</v>
      </c>
      <c r="B22" s="8">
        <v>1</v>
      </c>
      <c r="C22" s="8">
        <v>1</v>
      </c>
      <c r="D22" s="8">
        <v>1</v>
      </c>
      <c r="E22" s="3" t="s">
        <v>133</v>
      </c>
      <c r="F22" s="3" t="s">
        <v>97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6" t="s">
        <v>134</v>
      </c>
      <c r="B23" s="11">
        <v>5.0000000000000001E-3</v>
      </c>
      <c r="C23" s="11">
        <v>1.4999999999999999E-2</v>
      </c>
      <c r="D23" s="11">
        <v>0.04</v>
      </c>
      <c r="E23" s="3" t="s">
        <v>135</v>
      </c>
      <c r="F23" s="3" t="s">
        <v>136</v>
      </c>
      <c r="G23" s="3"/>
      <c r="H23" s="3"/>
      <c r="I23" s="3"/>
      <c r="J23" s="3"/>
      <c r="K23" s="3"/>
      <c r="L23" s="3"/>
      <c r="M23" s="3"/>
      <c r="N23" s="3"/>
      <c r="O23" s="3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defaultRowHeight="14.25"/>
  <cols>
    <col min="1" max="13" width="55.625" customWidth="1"/>
    <col min="14" max="15" width="9.625" customWidth="1"/>
  </cols>
  <sheetData>
    <row r="1" spans="1:15" ht="15" customHeight="1">
      <c r="A1" s="23" t="s">
        <v>137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3"/>
      <c r="O1" s="3"/>
    </row>
    <row r="2" spans="1:15" ht="38.25">
      <c r="A2" s="1" t="s">
        <v>274</v>
      </c>
      <c r="B2" s="1" t="s">
        <v>274</v>
      </c>
      <c r="C2" s="1" t="s">
        <v>274</v>
      </c>
      <c r="D2" s="1" t="s">
        <v>274</v>
      </c>
      <c r="E2" s="1" t="s">
        <v>274</v>
      </c>
      <c r="F2" s="1" t="s">
        <v>274</v>
      </c>
      <c r="G2" s="1" t="s">
        <v>274</v>
      </c>
      <c r="H2" s="1" t="s">
        <v>274</v>
      </c>
      <c r="I2" s="1" t="s">
        <v>274</v>
      </c>
      <c r="J2" s="1" t="s">
        <v>274</v>
      </c>
      <c r="K2" s="1" t="s">
        <v>274</v>
      </c>
      <c r="L2" s="1" t="s">
        <v>274</v>
      </c>
      <c r="M2" s="1" t="s">
        <v>274</v>
      </c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138</v>
      </c>
      <c r="B4" s="4" t="s">
        <v>139</v>
      </c>
      <c r="C4" s="4" t="s">
        <v>140</v>
      </c>
      <c r="D4" s="4" t="s">
        <v>141</v>
      </c>
      <c r="E4" s="4" t="s">
        <v>142</v>
      </c>
      <c r="F4" s="4" t="s">
        <v>98</v>
      </c>
      <c r="G4" s="4" t="s">
        <v>101</v>
      </c>
      <c r="H4" s="4" t="s">
        <v>143</v>
      </c>
      <c r="I4" s="4" t="s">
        <v>275</v>
      </c>
      <c r="J4" s="4" t="s">
        <v>144</v>
      </c>
      <c r="K4" s="4" t="s">
        <v>145</v>
      </c>
      <c r="L4" s="4" t="s">
        <v>146</v>
      </c>
      <c r="M4" s="4" t="s">
        <v>12</v>
      </c>
      <c r="N4" s="3"/>
      <c r="O4" s="3"/>
    </row>
    <row r="5" spans="1:15" ht="38.25">
      <c r="A5" s="5">
        <v>1</v>
      </c>
      <c r="B5" s="12" t="s">
        <v>246</v>
      </c>
      <c r="C5" s="12" t="s">
        <v>247</v>
      </c>
      <c r="D5" s="12" t="s">
        <v>248</v>
      </c>
      <c r="E5" s="13">
        <v>507000</v>
      </c>
      <c r="F5" s="14">
        <v>1.9580000000000001E-3</v>
      </c>
      <c r="G5" s="14">
        <v>0.75</v>
      </c>
      <c r="H5" s="14">
        <v>1</v>
      </c>
      <c r="I5" s="15">
        <f t="shared" ref="I5:I8" si="0">IFERROR(E5*F5*G5*H5,0)</f>
        <v>744.52949999999998</v>
      </c>
      <c r="J5" s="15">
        <f t="shared" ref="J5:J8" si="1">I5*12</f>
        <v>8934.3539999999994</v>
      </c>
      <c r="K5" s="16">
        <f>IFERROR(I5/SUM($I$5:$I$8),0)</f>
        <v>0.12059656050046381</v>
      </c>
      <c r="L5" s="3" t="s">
        <v>249</v>
      </c>
      <c r="M5" s="3" t="s">
        <v>267</v>
      </c>
      <c r="N5" s="3"/>
      <c r="O5" s="3"/>
    </row>
    <row r="6" spans="1:15" ht="38.25">
      <c r="A6" s="5">
        <v>2</v>
      </c>
      <c r="B6" s="12" t="s">
        <v>250</v>
      </c>
      <c r="C6" s="12" t="s">
        <v>251</v>
      </c>
      <c r="D6" s="12" t="s">
        <v>252</v>
      </c>
      <c r="E6" s="13">
        <v>7800000</v>
      </c>
      <c r="F6" s="14">
        <v>1.9580000000000001E-3</v>
      </c>
      <c r="G6" s="14">
        <v>0.35</v>
      </c>
      <c r="H6" s="14">
        <v>0.9</v>
      </c>
      <c r="I6" s="15">
        <f t="shared" si="0"/>
        <v>4810.8060000000005</v>
      </c>
      <c r="J6" s="15">
        <f t="shared" si="1"/>
        <v>57729.672000000006</v>
      </c>
      <c r="K6" s="16">
        <f>IFERROR(I6/SUM($I$5:$I$8),0)</f>
        <v>0.77923931400299706</v>
      </c>
      <c r="L6" s="3" t="s">
        <v>253</v>
      </c>
      <c r="M6" s="3" t="s">
        <v>283</v>
      </c>
      <c r="N6" s="3"/>
      <c r="O6" s="3"/>
    </row>
    <row r="7" spans="1:15" ht="38.25">
      <c r="A7" s="5">
        <v>3</v>
      </c>
      <c r="B7" s="12" t="s">
        <v>254</v>
      </c>
      <c r="C7" s="12" t="s">
        <v>255</v>
      </c>
      <c r="D7" s="12" t="s">
        <v>256</v>
      </c>
      <c r="E7" s="13">
        <v>678500</v>
      </c>
      <c r="F7" s="14">
        <v>1.9580000000000001E-3</v>
      </c>
      <c r="G7" s="14">
        <v>0.5</v>
      </c>
      <c r="H7" s="14">
        <v>0.9</v>
      </c>
      <c r="I7" s="15">
        <f t="shared" si="0"/>
        <v>597.82635000000005</v>
      </c>
      <c r="J7" s="15">
        <f t="shared" si="1"/>
        <v>7173.9162000000006</v>
      </c>
      <c r="K7" s="16">
        <f>IFERROR(I7/SUM($I$5:$I$8),0)</f>
        <v>9.6834042958064748E-2</v>
      </c>
      <c r="L7" s="3" t="s">
        <v>257</v>
      </c>
      <c r="M7" s="3" t="s">
        <v>284</v>
      </c>
      <c r="N7" s="3"/>
      <c r="O7" s="3"/>
    </row>
    <row r="8" spans="1:15" ht="38.25">
      <c r="A8" s="5">
        <v>4</v>
      </c>
      <c r="B8" s="12" t="s">
        <v>258</v>
      </c>
      <c r="C8" s="12" t="s">
        <v>259</v>
      </c>
      <c r="D8" s="12" t="s">
        <v>248</v>
      </c>
      <c r="E8" s="13">
        <v>20000</v>
      </c>
      <c r="F8" s="14">
        <v>1.9580000000000001E-3</v>
      </c>
      <c r="G8" s="14">
        <v>0.7</v>
      </c>
      <c r="H8" s="14">
        <v>0.75</v>
      </c>
      <c r="I8" s="15">
        <f t="shared" si="0"/>
        <v>20.559000000000001</v>
      </c>
      <c r="J8" s="15">
        <f t="shared" si="1"/>
        <v>246.70800000000003</v>
      </c>
      <c r="K8" s="16">
        <f>IFERROR(I8/SUM($I$5:$I$8),0)</f>
        <v>3.3300825384743461E-3</v>
      </c>
      <c r="L8" s="3" t="s">
        <v>260</v>
      </c>
      <c r="M8" s="3" t="s">
        <v>285</v>
      </c>
      <c r="N8" s="3"/>
      <c r="O8" s="3"/>
    </row>
    <row r="9" spans="1:15">
      <c r="A9" s="24" t="s">
        <v>147</v>
      </c>
      <c r="B9" s="24"/>
      <c r="C9" s="24"/>
      <c r="D9" s="24"/>
      <c r="E9" s="24"/>
      <c r="F9" s="24"/>
      <c r="G9" s="24"/>
      <c r="H9" s="24"/>
      <c r="I9" s="15">
        <f>SUM(I5:I8)</f>
        <v>6173.7208500000006</v>
      </c>
      <c r="J9" s="15">
        <f>SUM(J5:J8)</f>
        <v>74084.650200000018</v>
      </c>
      <c r="K9" s="3"/>
      <c r="L9" s="3"/>
      <c r="M9" s="3"/>
      <c r="N9" s="3"/>
      <c r="O9" s="3"/>
    </row>
    <row r="10" spans="1:15" ht="38.25">
      <c r="A10" s="3"/>
      <c r="B10" s="3" t="s">
        <v>286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mergeCells count="2">
    <mergeCell ref="A1:M1"/>
    <mergeCell ref="A9:H9"/>
  </mergeCells>
  <conditionalFormatting sqref="K5:K8">
    <cfRule type="dataBar" priority="3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{5AEC2D89-F668-5C7B-7BCB-5F02112BBD80}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EC2D89-F668-5C7B-7BCB-5F02112BBD80}">
            <x14:dataBar>
              <x14:cfvo type="min"/>
              <x14:cfvo type="max"/>
              <x14:negativeFillColor auto="1"/>
              <x14:axisColor auto="1"/>
            </x14:dataBar>
          </x14:cfRule>
          <xm:sqref>K5:K8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/>
  </sheetViews>
  <sheetFormatPr defaultRowHeight="14.25"/>
  <cols>
    <col min="1" max="11" width="55.625" customWidth="1"/>
    <col min="12" max="15" width="9.625" customWidth="1"/>
  </cols>
  <sheetData>
    <row r="1" spans="1:15" ht="15" customHeight="1">
      <c r="A1" s="23" t="s">
        <v>148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</row>
    <row r="2" spans="1:15" ht="38.25">
      <c r="A2" s="1" t="s">
        <v>276</v>
      </c>
      <c r="B2" s="1" t="s">
        <v>276</v>
      </c>
      <c r="C2" s="1" t="s">
        <v>276</v>
      </c>
      <c r="D2" s="1" t="s">
        <v>276</v>
      </c>
      <c r="E2" s="1" t="s">
        <v>276</v>
      </c>
      <c r="F2" s="1" t="s">
        <v>276</v>
      </c>
      <c r="G2" s="1" t="s">
        <v>276</v>
      </c>
      <c r="H2" s="1" t="s">
        <v>276</v>
      </c>
      <c r="I2" s="1" t="s">
        <v>276</v>
      </c>
      <c r="J2" s="1" t="s">
        <v>276</v>
      </c>
      <c r="K2" s="1" t="s">
        <v>276</v>
      </c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115</v>
      </c>
      <c r="C4" s="4" t="s">
        <v>118</v>
      </c>
      <c r="D4" s="4" t="s">
        <v>121</v>
      </c>
      <c r="E4" s="4" t="s">
        <v>277</v>
      </c>
      <c r="F4" s="4" t="s">
        <v>278</v>
      </c>
      <c r="G4" s="4" t="s">
        <v>150</v>
      </c>
      <c r="H4" s="4" t="s">
        <v>151</v>
      </c>
      <c r="I4" s="4" t="s">
        <v>152</v>
      </c>
      <c r="J4" s="4" t="s">
        <v>153</v>
      </c>
      <c r="K4" s="4" t="s">
        <v>12</v>
      </c>
      <c r="L4" s="3"/>
      <c r="M4" s="3"/>
      <c r="N4" s="3"/>
      <c r="O4" s="3"/>
    </row>
    <row r="5" spans="1:15" ht="25.5">
      <c r="A5" s="6" t="s">
        <v>111</v>
      </c>
      <c r="B5" s="17">
        <f>'01_Параметры'!B16</f>
        <v>1.1000000000000001</v>
      </c>
      <c r="C5" s="17">
        <f>'01_Параметры'!B17</f>
        <v>0.75</v>
      </c>
      <c r="D5" s="17">
        <f>'01_Параметры'!B18</f>
        <v>0.8</v>
      </c>
      <c r="E5" s="15">
        <f>'02_Similarweb'!I9</f>
        <v>6173.7208500000006</v>
      </c>
      <c r="F5" s="15">
        <f>E5*B5*C5*D5</f>
        <v>4074.6557610000013</v>
      </c>
      <c r="G5" s="15">
        <f>F5*12</f>
        <v>48895.869132000014</v>
      </c>
      <c r="H5" s="15">
        <f>G5*0.85</f>
        <v>41561.48876220001</v>
      </c>
      <c r="I5" s="15">
        <f>G5*1.15</f>
        <v>56230.249501800012</v>
      </c>
      <c r="J5" s="3" t="s">
        <v>154</v>
      </c>
      <c r="K5" s="3" t="s">
        <v>287</v>
      </c>
      <c r="L5" s="3"/>
      <c r="M5" s="3"/>
      <c r="N5" s="3"/>
      <c r="O5" s="3"/>
    </row>
    <row r="6" spans="1:15">
      <c r="A6" s="6" t="s">
        <v>112</v>
      </c>
      <c r="B6" s="17">
        <f>'01_Параметры'!C16</f>
        <v>1.35</v>
      </c>
      <c r="C6" s="17">
        <f>'01_Параметры'!C17</f>
        <v>0.9</v>
      </c>
      <c r="D6" s="17">
        <f>'01_Параметры'!C18</f>
        <v>1</v>
      </c>
      <c r="E6" s="15">
        <f>'02_Similarweb'!I9</f>
        <v>6173.7208500000006</v>
      </c>
      <c r="F6" s="15">
        <f>E6*B6*C6*D6</f>
        <v>7501.0708327500015</v>
      </c>
      <c r="G6" s="15">
        <f>F6*12</f>
        <v>90012.849993000011</v>
      </c>
      <c r="H6" s="15">
        <f>G6*0.85</f>
        <v>76510.922494050013</v>
      </c>
      <c r="I6" s="15">
        <f>G6*1.15</f>
        <v>103514.77749195001</v>
      </c>
      <c r="J6" s="3" t="s">
        <v>155</v>
      </c>
      <c r="K6" s="3" t="s">
        <v>287</v>
      </c>
      <c r="L6" s="3"/>
      <c r="M6" s="3"/>
      <c r="N6" s="3"/>
      <c r="O6" s="3"/>
    </row>
    <row r="7" spans="1:15">
      <c r="A7" s="6" t="s">
        <v>113</v>
      </c>
      <c r="B7" s="17">
        <f>'01_Параметры'!D16</f>
        <v>1.8</v>
      </c>
      <c r="C7" s="17">
        <f>'01_Параметры'!D17</f>
        <v>1</v>
      </c>
      <c r="D7" s="17">
        <f>'01_Параметры'!D18</f>
        <v>1.1499999999999999</v>
      </c>
      <c r="E7" s="15">
        <f>'02_Similarweb'!I9</f>
        <v>6173.7208500000006</v>
      </c>
      <c r="F7" s="15">
        <f>E7*B7*C7*D7</f>
        <v>12779.6021595</v>
      </c>
      <c r="G7" s="15">
        <f>F7*12</f>
        <v>153355.22591400001</v>
      </c>
      <c r="H7" s="15">
        <f>G7*0.85</f>
        <v>130351.94202690001</v>
      </c>
      <c r="I7" s="15">
        <f>G7*1.15</f>
        <v>176358.50980110001</v>
      </c>
      <c r="J7" s="3" t="s">
        <v>156</v>
      </c>
      <c r="K7" s="3" t="s">
        <v>287</v>
      </c>
      <c r="L7" s="3"/>
      <c r="M7" s="3"/>
      <c r="N7" s="3"/>
      <c r="O7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/>
  </sheetViews>
  <sheetFormatPr defaultRowHeight="14.25"/>
  <cols>
    <col min="1" max="12" width="55.625" customWidth="1"/>
    <col min="13" max="15" width="9.625" customWidth="1"/>
  </cols>
  <sheetData>
    <row r="1" spans="1:15" ht="15" customHeight="1">
      <c r="A1" s="23" t="s">
        <v>157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3"/>
      <c r="N1" s="3"/>
      <c r="O1" s="3"/>
    </row>
    <row r="2" spans="1:15" ht="25.5">
      <c r="A2" s="1" t="s">
        <v>279</v>
      </c>
      <c r="B2" s="1" t="s">
        <v>279</v>
      </c>
      <c r="C2" s="1" t="s">
        <v>279</v>
      </c>
      <c r="D2" s="1" t="s">
        <v>279</v>
      </c>
      <c r="E2" s="1" t="s">
        <v>279</v>
      </c>
      <c r="F2" s="1" t="s">
        <v>279</v>
      </c>
      <c r="G2" s="1" t="s">
        <v>279</v>
      </c>
      <c r="H2" s="1" t="s">
        <v>279</v>
      </c>
      <c r="I2" s="1" t="s">
        <v>279</v>
      </c>
      <c r="J2" s="1" t="s">
        <v>279</v>
      </c>
      <c r="K2" s="1" t="s">
        <v>279</v>
      </c>
      <c r="L2" s="1" t="s">
        <v>279</v>
      </c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158</v>
      </c>
      <c r="C4" s="4" t="s">
        <v>124</v>
      </c>
      <c r="D4" s="4" t="s">
        <v>127</v>
      </c>
      <c r="E4" s="4" t="s">
        <v>159</v>
      </c>
      <c r="F4" s="4" t="s">
        <v>160</v>
      </c>
      <c r="G4" s="4" t="s">
        <v>132</v>
      </c>
      <c r="H4" s="4" t="s">
        <v>161</v>
      </c>
      <c r="I4" s="4" t="s">
        <v>162</v>
      </c>
      <c r="J4" s="4" t="s">
        <v>163</v>
      </c>
      <c r="K4" s="4" t="s">
        <v>164</v>
      </c>
      <c r="L4" s="4" t="s">
        <v>12</v>
      </c>
      <c r="M4" s="3"/>
      <c r="N4" s="3"/>
      <c r="O4" s="3"/>
    </row>
    <row r="5" spans="1:15">
      <c r="A5" s="6" t="s">
        <v>111</v>
      </c>
      <c r="B5" s="15">
        <f>'03_Сценарии'!G5</f>
        <v>48895.869132000014</v>
      </c>
      <c r="C5" s="11">
        <f>'01_Параметры'!B19</f>
        <v>5.0000000000000001E-3</v>
      </c>
      <c r="D5" s="11">
        <f>'01_Параметры'!B20</f>
        <v>0.03</v>
      </c>
      <c r="E5" s="15">
        <f>B5*C5*D5</f>
        <v>7.3343803698000016</v>
      </c>
      <c r="F5" s="18">
        <f>'01_Параметры'!$B$8*'01_Параметры'!B21</f>
        <v>96.912000000000006</v>
      </c>
      <c r="G5" s="8">
        <f>'01_Параметры'!B22</f>
        <v>1</v>
      </c>
      <c r="H5" s="19">
        <f>E5*F5*G5</f>
        <v>710.7894703980578</v>
      </c>
      <c r="I5" s="16">
        <f>'01_Параметры'!B23</f>
        <v>5.0000000000000001E-3</v>
      </c>
      <c r="J5" s="19">
        <f>H5*I5</f>
        <v>3.5539473519902889</v>
      </c>
      <c r="K5" s="3" t="s">
        <v>165</v>
      </c>
      <c r="L5" s="3" t="s">
        <v>287</v>
      </c>
      <c r="M5" s="3"/>
      <c r="N5" s="3"/>
      <c r="O5" s="3"/>
    </row>
    <row r="6" spans="1:15">
      <c r="A6" s="6" t="s">
        <v>112</v>
      </c>
      <c r="B6" s="15">
        <f>'03_Сценарии'!G6</f>
        <v>90012.849993000011</v>
      </c>
      <c r="C6" s="11">
        <f>'01_Параметры'!C19</f>
        <v>1.4999999999999999E-2</v>
      </c>
      <c r="D6" s="11">
        <f>'01_Параметры'!C20</f>
        <v>0.04</v>
      </c>
      <c r="E6" s="15">
        <f>B6*C6*D6</f>
        <v>54.007709995800006</v>
      </c>
      <c r="F6" s="18">
        <f>'01_Параметры'!$B$8*'01_Параметры'!C21</f>
        <v>121.14</v>
      </c>
      <c r="G6" s="8">
        <f>'01_Параметры'!C22</f>
        <v>1</v>
      </c>
      <c r="H6" s="19">
        <f>E6*F6*G6</f>
        <v>6542.4939888912131</v>
      </c>
      <c r="I6" s="16">
        <f>'01_Параметры'!C23</f>
        <v>1.4999999999999999E-2</v>
      </c>
      <c r="J6" s="19">
        <f>H6*I6</f>
        <v>98.137409833368196</v>
      </c>
      <c r="K6" s="3" t="s">
        <v>165</v>
      </c>
      <c r="L6" s="3" t="s">
        <v>287</v>
      </c>
      <c r="M6" s="3"/>
      <c r="N6" s="3"/>
      <c r="O6" s="3"/>
    </row>
    <row r="7" spans="1:15">
      <c r="A7" s="6" t="s">
        <v>113</v>
      </c>
      <c r="B7" s="15">
        <f>'03_Сценарии'!G7</f>
        <v>153355.22591400001</v>
      </c>
      <c r="C7" s="11">
        <f>'01_Параметры'!D19</f>
        <v>0.03</v>
      </c>
      <c r="D7" s="11">
        <f>'01_Параметры'!D20</f>
        <v>0.05</v>
      </c>
      <c r="E7" s="15">
        <f>B7*C7*D7</f>
        <v>230.03283887100002</v>
      </c>
      <c r="F7" s="18">
        <f>'01_Параметры'!$B$8*'01_Параметры'!D21</f>
        <v>151.42500000000001</v>
      </c>
      <c r="G7" s="8">
        <f>'01_Параметры'!D22</f>
        <v>1</v>
      </c>
      <c r="H7" s="19">
        <f>E7*F7*G7</f>
        <v>34832.722626041184</v>
      </c>
      <c r="I7" s="16">
        <f>'01_Параметры'!D23</f>
        <v>0.04</v>
      </c>
      <c r="J7" s="19">
        <f>H7*I7</f>
        <v>1393.3089050416474</v>
      </c>
      <c r="K7" s="3" t="s">
        <v>165</v>
      </c>
      <c r="L7" s="3" t="s">
        <v>287</v>
      </c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4" t="s">
        <v>166</v>
      </c>
      <c r="B10" s="4" t="s">
        <v>111</v>
      </c>
      <c r="C10" s="4" t="s">
        <v>112</v>
      </c>
      <c r="D10" s="4" t="s">
        <v>113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6" t="s">
        <v>161</v>
      </c>
      <c r="B11" s="19">
        <f>H5</f>
        <v>710.7894703980578</v>
      </c>
      <c r="C11" s="19">
        <f>H6</f>
        <v>6542.4939888912131</v>
      </c>
      <c r="D11" s="19">
        <f>H7</f>
        <v>34832.722626041184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6" t="s">
        <v>163</v>
      </c>
      <c r="B12" s="19">
        <f>J5</f>
        <v>3.5539473519902889</v>
      </c>
      <c r="C12" s="19">
        <f>J6</f>
        <v>98.137409833368196</v>
      </c>
      <c r="D12" s="19">
        <f>J7</f>
        <v>1393.3089050416474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6" t="s">
        <v>159</v>
      </c>
      <c r="B13" s="15">
        <f>E5</f>
        <v>7.3343803698000016</v>
      </c>
      <c r="C13" s="15">
        <f>E6</f>
        <v>54.007709995800006</v>
      </c>
      <c r="D13" s="15">
        <f>E7</f>
        <v>230.03283887100002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/>
  </sheetViews>
  <sheetFormatPr defaultRowHeight="14.25"/>
  <cols>
    <col min="1" max="11" width="55.625" customWidth="1"/>
    <col min="12" max="15" width="9.625" customWidth="1"/>
  </cols>
  <sheetData>
    <row r="1" spans="1:15" ht="15" customHeight="1">
      <c r="A1" s="23" t="s">
        <v>167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3"/>
      <c r="M1" s="3"/>
      <c r="N1" s="3"/>
      <c r="O1" s="3"/>
    </row>
    <row r="2" spans="1:15" ht="38.25">
      <c r="A2" s="1" t="s">
        <v>280</v>
      </c>
      <c r="B2" s="1" t="s">
        <v>280</v>
      </c>
      <c r="C2" s="1" t="s">
        <v>280</v>
      </c>
      <c r="D2" s="1" t="s">
        <v>280</v>
      </c>
      <c r="E2" s="1" t="s">
        <v>280</v>
      </c>
      <c r="F2" s="1" t="s">
        <v>280</v>
      </c>
      <c r="G2" s="1" t="s">
        <v>280</v>
      </c>
      <c r="H2" s="1" t="s">
        <v>280</v>
      </c>
      <c r="I2" s="1" t="s">
        <v>280</v>
      </c>
      <c r="J2" s="1" t="s">
        <v>280</v>
      </c>
      <c r="K2" s="1" t="s">
        <v>280</v>
      </c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149</v>
      </c>
      <c r="B4" s="4" t="s">
        <v>158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162</v>
      </c>
      <c r="K4" s="4" t="s">
        <v>175</v>
      </c>
      <c r="L4" s="3"/>
      <c r="M4" s="3"/>
      <c r="N4" s="3"/>
      <c r="O4" s="3"/>
    </row>
    <row r="5" spans="1:15">
      <c r="A5" s="6" t="s">
        <v>111</v>
      </c>
      <c r="B5" s="15">
        <f>'03_Сценарии'!G5</f>
        <v>48895.869132000014</v>
      </c>
      <c r="C5" s="11">
        <v>0.01</v>
      </c>
      <c r="D5" s="15">
        <f>B5*C5*0.3</f>
        <v>146.68760739600003</v>
      </c>
      <c r="E5" s="8">
        <v>1</v>
      </c>
      <c r="F5" s="18">
        <v>600</v>
      </c>
      <c r="G5" s="19">
        <f>D5*E5*F5</f>
        <v>88012.564437600013</v>
      </c>
      <c r="H5" s="11">
        <v>0.08</v>
      </c>
      <c r="I5" s="19">
        <f>G5*H5</f>
        <v>7041.0051550080016</v>
      </c>
      <c r="J5" s="11">
        <v>5.0000000000000001E-3</v>
      </c>
      <c r="K5" s="19">
        <f>I5*J5</f>
        <v>35.205025775040006</v>
      </c>
      <c r="L5" s="3"/>
      <c r="M5" s="3"/>
      <c r="N5" s="3"/>
      <c r="O5" s="3"/>
    </row>
    <row r="6" spans="1:15">
      <c r="A6" s="6" t="s">
        <v>112</v>
      </c>
      <c r="B6" s="15">
        <f>'03_Сценарии'!G6</f>
        <v>90012.849993000011</v>
      </c>
      <c r="C6" s="11">
        <v>0.03</v>
      </c>
      <c r="D6" s="15">
        <f>B6*C6*0.45</f>
        <v>1215.1734749055001</v>
      </c>
      <c r="E6" s="8">
        <v>2</v>
      </c>
      <c r="F6" s="18">
        <v>1000</v>
      </c>
      <c r="G6" s="19">
        <f>D6*E6*F6</f>
        <v>2430346.9498110004</v>
      </c>
      <c r="H6" s="11">
        <v>0.1</v>
      </c>
      <c r="I6" s="19">
        <f>G6*H6</f>
        <v>243034.69498110004</v>
      </c>
      <c r="J6" s="11">
        <v>1.4999999999999999E-2</v>
      </c>
      <c r="K6" s="19">
        <f>I6*J6</f>
        <v>3645.5204247165007</v>
      </c>
      <c r="L6" s="3"/>
      <c r="M6" s="3"/>
      <c r="N6" s="3"/>
      <c r="O6" s="3"/>
    </row>
    <row r="7" spans="1:15">
      <c r="A7" s="6" t="s">
        <v>113</v>
      </c>
      <c r="B7" s="15">
        <f>'03_Сценарии'!G7</f>
        <v>153355.22591400001</v>
      </c>
      <c r="C7" s="11">
        <v>0.06</v>
      </c>
      <c r="D7" s="15">
        <f>B7*C7*0.6</f>
        <v>5520.7881329040001</v>
      </c>
      <c r="E7" s="8">
        <v>4</v>
      </c>
      <c r="F7" s="18">
        <v>1500</v>
      </c>
      <c r="G7" s="19">
        <f>D7*E7*F7</f>
        <v>33124728.797424</v>
      </c>
      <c r="H7" s="11">
        <v>0.15</v>
      </c>
      <c r="I7" s="19">
        <f>G7*H7</f>
        <v>4968709.3196136001</v>
      </c>
      <c r="J7" s="11">
        <v>0.04</v>
      </c>
      <c r="K7" s="19">
        <f>I7*J7</f>
        <v>198748.37278454402</v>
      </c>
      <c r="L7" s="3"/>
      <c r="M7" s="3"/>
      <c r="N7" s="3"/>
      <c r="O7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25"/>
  <cols>
    <col min="1" max="8" width="55.625" customWidth="1"/>
    <col min="9" max="15" width="9.625" customWidth="1"/>
  </cols>
  <sheetData>
    <row r="1" spans="1:15" ht="15" customHeight="1">
      <c r="A1" s="23" t="s">
        <v>176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 ht="38.25">
      <c r="A2" s="1" t="s">
        <v>281</v>
      </c>
      <c r="B2" s="1" t="s">
        <v>281</v>
      </c>
      <c r="C2" s="1" t="s">
        <v>281</v>
      </c>
      <c r="D2" s="1" t="s">
        <v>281</v>
      </c>
      <c r="E2" s="1" t="s">
        <v>281</v>
      </c>
      <c r="F2" s="1" t="s">
        <v>281</v>
      </c>
      <c r="G2" s="1" t="s">
        <v>281</v>
      </c>
      <c r="H2" s="1" t="s">
        <v>281</v>
      </c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4" t="s">
        <v>177</v>
      </c>
      <c r="B4" s="4" t="s">
        <v>111</v>
      </c>
      <c r="C4" s="4" t="s">
        <v>112</v>
      </c>
      <c r="D4" s="4" t="s">
        <v>113</v>
      </c>
      <c r="E4" s="4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6" t="s">
        <v>178</v>
      </c>
      <c r="B5" s="19">
        <f>'04_Воронка'!J5</f>
        <v>3.5539473519902889</v>
      </c>
      <c r="C5" s="19">
        <f>'04_Воронка'!J6</f>
        <v>98.137409833368196</v>
      </c>
      <c r="D5" s="19">
        <f>'04_Воронка'!J7</f>
        <v>1393.3089050416474</v>
      </c>
      <c r="E5" s="1" t="s">
        <v>179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25.5">
      <c r="A6" s="6" t="s">
        <v>180</v>
      </c>
      <c r="B6" s="19" t="s">
        <v>287</v>
      </c>
      <c r="C6" s="19" t="s">
        <v>287</v>
      </c>
      <c r="D6" s="19" t="s">
        <v>287</v>
      </c>
      <c r="E6" s="1" t="s">
        <v>261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5.5">
      <c r="A7" s="6" t="s">
        <v>181</v>
      </c>
      <c r="B7" s="18">
        <v>11.434792248000001</v>
      </c>
      <c r="C7" s="18">
        <v>73.182670387200005</v>
      </c>
      <c r="D7" s="18">
        <v>720.40182291000019</v>
      </c>
      <c r="E7" s="1" t="s">
        <v>268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6" t="s">
        <v>182</v>
      </c>
      <c r="B8" s="18">
        <v>456.16484592676812</v>
      </c>
      <c r="C8" s="18">
        <v>3959.7642875587499</v>
      </c>
      <c r="D8" s="18">
        <v>16590.145240299142</v>
      </c>
      <c r="E8" s="1" t="s">
        <v>262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25.5">
      <c r="A9" s="6" t="s">
        <v>183</v>
      </c>
      <c r="B9" s="18" t="s">
        <v>287</v>
      </c>
      <c r="C9" s="18" t="s">
        <v>287</v>
      </c>
      <c r="D9" s="18" t="s">
        <v>287</v>
      </c>
      <c r="E9" s="1" t="s">
        <v>263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20"/>
      <c r="C10" s="20"/>
      <c r="D10" s="20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4" t="s">
        <v>184</v>
      </c>
      <c r="B11" s="21" t="s">
        <v>111</v>
      </c>
      <c r="C11" s="21" t="s">
        <v>112</v>
      </c>
      <c r="D11" s="21" t="s">
        <v>113</v>
      </c>
      <c r="E11" s="2" t="s">
        <v>153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 t="s">
        <v>185</v>
      </c>
      <c r="B12" s="19">
        <f>MIN(B5:B9)</f>
        <v>3.5539473519902889</v>
      </c>
      <c r="C12" s="19">
        <f>MIN(C5:C9)</f>
        <v>73.182670387200005</v>
      </c>
      <c r="D12" s="19">
        <f>MIN(D5:D9)</f>
        <v>720.40182291000019</v>
      </c>
      <c r="E12" s="1" t="s">
        <v>186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 t="s">
        <v>187</v>
      </c>
      <c r="B13" s="19">
        <f>AVERAGE(B5:B9)</f>
        <v>157.05119517558614</v>
      </c>
      <c r="C13" s="19">
        <f>AVERAGE(C5:C9)</f>
        <v>1377.028122593106</v>
      </c>
      <c r="D13" s="19">
        <f>AVERAGE(D5:D9)</f>
        <v>6234.6186560835968</v>
      </c>
      <c r="E13" s="1" t="s">
        <v>188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 t="s">
        <v>189</v>
      </c>
      <c r="B14" s="19">
        <f>MAX(B5:B9)</f>
        <v>456.16484592676812</v>
      </c>
      <c r="C14" s="19">
        <f>MAX(C5:C9)</f>
        <v>3959.7642875587499</v>
      </c>
      <c r="D14" s="19">
        <f>MAX(D5:D9)</f>
        <v>16590.145240299142</v>
      </c>
      <c r="E14" s="1" t="s">
        <v>190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 t="s">
        <v>191</v>
      </c>
      <c r="B15" s="6" t="str">
        <f>TEXT(B12,"# ##0")&amp;" – "&amp;TEXT(B14,"# ##0")</f>
        <v xml:space="preserve"> 4 –  456</v>
      </c>
      <c r="C15" s="6" t="str">
        <f>TEXT(C12,"# ##0")&amp;" – "&amp;TEXT(C14,"# ##0")</f>
        <v xml:space="preserve"> 73 – 3 960</v>
      </c>
      <c r="D15" s="6" t="str">
        <f>TEXT(D12,"# ##0")&amp;" – "&amp;TEXT(D14,"# ##0")</f>
        <v xml:space="preserve"> 720 – 16 590</v>
      </c>
      <c r="E15" s="1" t="s">
        <v>192</v>
      </c>
      <c r="F15" s="3"/>
      <c r="G15" s="3"/>
      <c r="H15" s="3"/>
      <c r="I15" s="3"/>
      <c r="J15" s="3"/>
      <c r="K15" s="3"/>
      <c r="L15" s="3"/>
      <c r="M15" s="3"/>
      <c r="N15" s="3"/>
      <c r="O15" s="3"/>
    </row>
  </sheetData>
  <mergeCells count="1">
    <mergeCell ref="A1:H1"/>
  </mergeCells>
  <conditionalFormatting sqref="B5:D9">
    <cfRule type="colorScale" priority="1">
      <colorScale>
        <cfvo type="min"/>
        <cfvo type="percentile" val="50"/>
        <cfvo type="max"/>
        <color rgb="FFFCE4D6"/>
        <color rgb="FFFFF2CC"/>
        <color rgb="FFDDEFEA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0"/>
  <sheetViews>
    <sheetView workbookViewId="0"/>
  </sheetViews>
  <sheetFormatPr defaultRowHeight="14.25"/>
  <cols>
    <col min="1" max="1" width="28" customWidth="1"/>
    <col min="2" max="2" width="26" customWidth="1"/>
    <col min="3" max="3" width="4" customWidth="1"/>
    <col min="4" max="4" width="26" customWidth="1"/>
    <col min="5" max="7" width="18" customWidth="1"/>
    <col min="8" max="8" width="30" customWidth="1"/>
  </cols>
  <sheetData>
    <row r="1" spans="1:15" ht="30" customHeight="1">
      <c r="A1" s="23" t="s">
        <v>193</v>
      </c>
      <c r="B1" s="23"/>
      <c r="C1" s="23"/>
      <c r="D1" s="23"/>
      <c r="E1" s="23"/>
      <c r="F1" s="23"/>
      <c r="G1" s="23"/>
      <c r="H1" s="2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194</v>
      </c>
      <c r="B3" s="4" t="s">
        <v>71</v>
      </c>
      <c r="C3" s="3"/>
      <c r="D3" s="24" t="s">
        <v>195</v>
      </c>
      <c r="E3" s="24"/>
      <c r="F3" s="24"/>
      <c r="G3" s="24"/>
      <c r="H3" s="24"/>
      <c r="I3" s="3"/>
      <c r="J3" s="3"/>
      <c r="K3" s="3"/>
      <c r="L3" s="3"/>
      <c r="M3" s="3"/>
      <c r="N3" s="3"/>
      <c r="O3" s="3"/>
    </row>
    <row r="4" spans="1:15" ht="51">
      <c r="A4" s="6" t="s">
        <v>196</v>
      </c>
      <c r="B4" s="6" t="str">
        <f>'01_Параметры'!B4</f>
        <v>NotaCode – веб-IDE для построения и проверки диаграмм формальных нотаций как текста (подписка Free / Pro)</v>
      </c>
      <c r="C4" s="3"/>
      <c r="D4" s="4" t="s">
        <v>194</v>
      </c>
      <c r="E4" s="4" t="s">
        <v>111</v>
      </c>
      <c r="F4" s="4" t="s">
        <v>112</v>
      </c>
      <c r="G4" s="4" t="s">
        <v>113</v>
      </c>
      <c r="H4" s="4" t="s">
        <v>12</v>
      </c>
      <c r="I4" s="3"/>
      <c r="J4" s="3"/>
      <c r="K4" s="3"/>
      <c r="L4" s="3"/>
      <c r="M4" s="3"/>
      <c r="N4" s="3"/>
      <c r="O4" s="3"/>
    </row>
    <row r="5" spans="1:15">
      <c r="A5" s="6" t="s">
        <v>197</v>
      </c>
      <c r="B5" s="6" t="str">
        <f>'01_Параметры'!B5</f>
        <v>Республика Беларусь</v>
      </c>
      <c r="C5" s="3"/>
      <c r="D5" s="6" t="s">
        <v>198</v>
      </c>
      <c r="E5" s="15">
        <f>'03_Сценарии'!G5</f>
        <v>48895.869132000014</v>
      </c>
      <c r="F5" s="15">
        <f>'03_Сценарии'!G6</f>
        <v>90012.849993000011</v>
      </c>
      <c r="G5" s="15">
        <f>'03_Сценарии'!G7</f>
        <v>153355.22591400001</v>
      </c>
      <c r="H5" s="1" t="s">
        <v>199</v>
      </c>
      <c r="I5" s="3"/>
      <c r="J5" s="3"/>
      <c r="K5" s="3"/>
      <c r="L5" s="3"/>
      <c r="M5" s="3"/>
      <c r="N5" s="3"/>
      <c r="O5" s="3"/>
    </row>
    <row r="6" spans="1:15">
      <c r="A6" s="6" t="s">
        <v>200</v>
      </c>
      <c r="B6" s="15">
        <f>'03_Сценарии'!G6</f>
        <v>90012.849993000011</v>
      </c>
      <c r="C6" s="3"/>
      <c r="D6" s="6" t="s">
        <v>161</v>
      </c>
      <c r="E6" s="19">
        <f>'04_Воронка'!H5</f>
        <v>710.7894703980578</v>
      </c>
      <c r="F6" s="19">
        <f>'04_Воронка'!H6</f>
        <v>6542.4939888912131</v>
      </c>
      <c r="G6" s="19">
        <f>'04_Воронка'!H7</f>
        <v>34832.722626041184</v>
      </c>
      <c r="H6" s="1" t="s">
        <v>201</v>
      </c>
      <c r="I6" s="3"/>
      <c r="J6" s="3"/>
      <c r="K6" s="3"/>
      <c r="L6" s="3"/>
      <c r="M6" s="3"/>
      <c r="N6" s="3"/>
      <c r="O6" s="3"/>
    </row>
    <row r="7" spans="1:15">
      <c r="A7" s="6" t="s">
        <v>202</v>
      </c>
      <c r="B7" s="19">
        <f>'04_Воронка'!H6</f>
        <v>6542.4939888912131</v>
      </c>
      <c r="C7" s="3"/>
      <c r="D7" s="6" t="s">
        <v>163</v>
      </c>
      <c r="E7" s="19">
        <f>'04_Воронка'!J5</f>
        <v>3.5539473519902889</v>
      </c>
      <c r="F7" s="19">
        <f>'04_Воронка'!J6</f>
        <v>98.137409833368196</v>
      </c>
      <c r="G7" s="19">
        <f>'04_Воронка'!J7</f>
        <v>1393.3089050416474</v>
      </c>
      <c r="H7" s="1" t="s">
        <v>203</v>
      </c>
      <c r="I7" s="3"/>
      <c r="J7" s="3"/>
      <c r="K7" s="3"/>
      <c r="L7" s="3"/>
      <c r="M7" s="3"/>
      <c r="N7" s="3"/>
      <c r="O7" s="3"/>
    </row>
    <row r="8" spans="1:15">
      <c r="A8" s="6" t="s">
        <v>204</v>
      </c>
      <c r="B8" s="19">
        <f>'04_Воронка'!J6</f>
        <v>98.137409833368196</v>
      </c>
      <c r="C8" s="3"/>
      <c r="D8" s="6" t="s">
        <v>205</v>
      </c>
      <c r="E8" s="19">
        <f>'05_Платформа'!G5</f>
        <v>88012.564437600013</v>
      </c>
      <c r="F8" s="19">
        <f>'05_Платформа'!G6</f>
        <v>2430346.9498110004</v>
      </c>
      <c r="G8" s="19">
        <f>'05_Платформа'!G7</f>
        <v>33124728.797424</v>
      </c>
      <c r="H8" s="1" t="s">
        <v>206</v>
      </c>
      <c r="I8" s="3"/>
      <c r="J8" s="3"/>
      <c r="K8" s="3"/>
      <c r="L8" s="3"/>
      <c r="M8" s="3"/>
      <c r="N8" s="3"/>
      <c r="O8" s="3"/>
    </row>
    <row r="9" spans="1:15">
      <c r="A9" s="6" t="s">
        <v>207</v>
      </c>
      <c r="B9" s="19">
        <f>'05_Платформа'!I6</f>
        <v>243034.69498110004</v>
      </c>
      <c r="C9" s="3"/>
      <c r="D9" s="6" t="s">
        <v>174</v>
      </c>
      <c r="E9" s="19">
        <f>'05_Платформа'!I5</f>
        <v>7041.0051550080016</v>
      </c>
      <c r="F9" s="19">
        <f>'05_Платформа'!I6</f>
        <v>243034.69498110004</v>
      </c>
      <c r="G9" s="19">
        <f>'05_Платформа'!I7</f>
        <v>4968709.3196136001</v>
      </c>
      <c r="H9" s="1" t="s">
        <v>208</v>
      </c>
      <c r="I9" s="3"/>
      <c r="J9" s="3"/>
      <c r="K9" s="3"/>
      <c r="L9" s="3"/>
      <c r="M9" s="3"/>
      <c r="N9" s="3"/>
      <c r="O9" s="3"/>
    </row>
    <row r="10" spans="1:15">
      <c r="A10" s="6" t="s">
        <v>209</v>
      </c>
      <c r="B10" s="19">
        <f>'06_Сверка'!C13</f>
        <v>1377.028122593106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24" t="s">
        <v>210</v>
      </c>
      <c r="B13" s="24"/>
      <c r="C13" s="24"/>
      <c r="D13" s="24"/>
      <c r="E13" s="24"/>
      <c r="F13" s="24"/>
      <c r="G13" s="24"/>
      <c r="H13" s="24"/>
      <c r="I13" s="3"/>
      <c r="J13" s="3"/>
      <c r="K13" s="3"/>
      <c r="L13" s="3"/>
      <c r="M13" s="3"/>
      <c r="N13" s="3"/>
      <c r="O13" s="3"/>
    </row>
    <row r="14" spans="1:15">
      <c r="A14" s="25" t="s">
        <v>282</v>
      </c>
      <c r="B14" s="25"/>
      <c r="C14" s="25"/>
      <c r="D14" s="25"/>
      <c r="E14" s="25"/>
      <c r="F14" s="25"/>
      <c r="G14" s="25"/>
      <c r="H14" s="25"/>
      <c r="I14" s="3"/>
      <c r="J14" s="3"/>
      <c r="K14" s="3"/>
      <c r="L14" s="3"/>
      <c r="M14" s="3"/>
      <c r="N14" s="3"/>
      <c r="O14" s="3"/>
    </row>
    <row r="15" spans="1:15">
      <c r="A15" s="25"/>
      <c r="B15" s="25"/>
      <c r="C15" s="25"/>
      <c r="D15" s="25"/>
      <c r="E15" s="25"/>
      <c r="F15" s="25"/>
      <c r="G15" s="25"/>
      <c r="H15" s="25"/>
      <c r="I15" s="3"/>
      <c r="J15" s="3"/>
      <c r="K15" s="3"/>
      <c r="L15" s="3"/>
      <c r="M15" s="3"/>
      <c r="N15" s="3"/>
      <c r="O15" s="3"/>
    </row>
    <row r="16" spans="1:15">
      <c r="A16" s="25"/>
      <c r="B16" s="25"/>
      <c r="C16" s="25"/>
      <c r="D16" s="25"/>
      <c r="E16" s="25"/>
      <c r="F16" s="25"/>
      <c r="G16" s="25"/>
      <c r="H16" s="25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</sheetData>
  <mergeCells count="4">
    <mergeCell ref="A1:H1"/>
    <mergeCell ref="D3:H3"/>
    <mergeCell ref="A13:H13"/>
    <mergeCell ref="A14:H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"/>
  <sheetViews>
    <sheetView workbookViewId="0"/>
  </sheetViews>
  <sheetFormatPr defaultRowHeight="14.25"/>
  <cols>
    <col min="1" max="1" width="40.625" customWidth="1"/>
    <col min="2" max="2" width="36.625" customWidth="1"/>
    <col min="3" max="4" width="55.625" customWidth="1"/>
    <col min="5" max="5" width="15.625" customWidth="1"/>
    <col min="6" max="6" width="27.625" customWidth="1"/>
    <col min="7" max="7" width="55.625" customWidth="1"/>
    <col min="8" max="15" width="9.625" customWidth="1"/>
  </cols>
  <sheetData>
    <row r="1" spans="1:15">
      <c r="A1" s="23" t="s">
        <v>211</v>
      </c>
      <c r="B1" s="23"/>
      <c r="C1" s="23"/>
      <c r="D1" s="23"/>
      <c r="E1" s="23"/>
      <c r="F1" s="23"/>
      <c r="G1" s="2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4" t="s">
        <v>138</v>
      </c>
      <c r="B3" s="4" t="s">
        <v>212</v>
      </c>
      <c r="C3" s="4" t="s">
        <v>213</v>
      </c>
      <c r="D3" s="4" t="s">
        <v>214</v>
      </c>
      <c r="E3" s="4" t="s">
        <v>215</v>
      </c>
      <c r="F3" s="4" t="s">
        <v>216</v>
      </c>
      <c r="G3" s="4" t="s">
        <v>217</v>
      </c>
      <c r="H3" s="3"/>
      <c r="I3" s="3"/>
      <c r="J3" s="3"/>
      <c r="K3" s="3"/>
      <c r="L3" s="3"/>
      <c r="M3" s="3"/>
      <c r="N3" s="3"/>
      <c r="O3" s="3"/>
    </row>
    <row r="4" spans="1:15">
      <c r="A4" s="5">
        <v>1</v>
      </c>
      <c r="B4" s="3" t="s">
        <v>218</v>
      </c>
      <c r="C4" s="3" t="s">
        <v>219</v>
      </c>
      <c r="D4" s="3" t="s">
        <v>220</v>
      </c>
      <c r="E4" s="22" t="s">
        <v>269</v>
      </c>
      <c r="F4" s="3" t="s">
        <v>221</v>
      </c>
      <c r="G4" s="3" t="s">
        <v>222</v>
      </c>
      <c r="H4" s="3"/>
      <c r="I4" s="3"/>
      <c r="J4" s="3"/>
      <c r="K4" s="3"/>
      <c r="L4" s="3"/>
      <c r="M4" s="3"/>
      <c r="N4" s="3"/>
      <c r="O4" s="3"/>
    </row>
    <row r="5" spans="1:15" ht="25.5">
      <c r="A5" s="5">
        <v>2</v>
      </c>
      <c r="B5" s="3" t="s">
        <v>223</v>
      </c>
      <c r="C5" s="3" t="s">
        <v>224</v>
      </c>
      <c r="D5" s="3" t="s">
        <v>225</v>
      </c>
      <c r="E5" s="22" t="s">
        <v>269</v>
      </c>
      <c r="F5" s="3" t="s">
        <v>226</v>
      </c>
      <c r="G5" s="3" t="s">
        <v>227</v>
      </c>
      <c r="H5" s="3"/>
      <c r="I5" s="3"/>
      <c r="J5" s="3"/>
      <c r="K5" s="3"/>
      <c r="L5" s="3"/>
      <c r="M5" s="3"/>
      <c r="N5" s="3"/>
      <c r="O5" s="3"/>
    </row>
    <row r="6" spans="1:15" ht="25.5">
      <c r="A6" s="5">
        <v>3</v>
      </c>
      <c r="B6" s="3" t="s">
        <v>228</v>
      </c>
      <c r="C6" s="3" t="s">
        <v>229</v>
      </c>
      <c r="D6" s="3" t="s">
        <v>230</v>
      </c>
      <c r="E6" s="22" t="s">
        <v>269</v>
      </c>
      <c r="F6" s="3" t="s">
        <v>231</v>
      </c>
      <c r="G6" s="3" t="s">
        <v>232</v>
      </c>
      <c r="H6" s="3"/>
      <c r="I6" s="3"/>
      <c r="J6" s="3"/>
      <c r="K6" s="3"/>
      <c r="L6" s="3"/>
      <c r="M6" s="3"/>
      <c r="N6" s="3"/>
      <c r="O6" s="3"/>
    </row>
    <row r="7" spans="1:15">
      <c r="A7" s="5">
        <v>4</v>
      </c>
      <c r="B7" s="3" t="s">
        <v>233</v>
      </c>
      <c r="C7" s="3" t="s">
        <v>234</v>
      </c>
      <c r="D7" s="3" t="s">
        <v>235</v>
      </c>
      <c r="E7" s="22" t="s">
        <v>269</v>
      </c>
      <c r="F7" s="3" t="s">
        <v>236</v>
      </c>
      <c r="G7" s="3" t="s">
        <v>237</v>
      </c>
      <c r="H7" s="3"/>
      <c r="I7" s="3"/>
      <c r="J7" s="3"/>
      <c r="K7" s="3"/>
      <c r="L7" s="3"/>
      <c r="M7" s="3"/>
      <c r="N7" s="3"/>
      <c r="O7" s="3"/>
    </row>
    <row r="8" spans="1:15">
      <c r="A8" s="5">
        <v>5</v>
      </c>
      <c r="B8" s="3" t="s">
        <v>238</v>
      </c>
      <c r="C8" s="3" t="s">
        <v>234</v>
      </c>
      <c r="D8" s="3" t="s">
        <v>239</v>
      </c>
      <c r="E8" s="22" t="s">
        <v>269</v>
      </c>
      <c r="F8" s="3" t="s">
        <v>240</v>
      </c>
      <c r="G8" s="3" t="s">
        <v>241</v>
      </c>
      <c r="H8" s="3"/>
      <c r="I8" s="3"/>
      <c r="J8" s="3"/>
      <c r="K8" s="3"/>
      <c r="L8" s="3"/>
      <c r="M8" s="3"/>
      <c r="N8" s="3"/>
      <c r="O8" s="3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02_Similarweb</vt:lpstr>
      <vt:lpstr>03_Сценарии</vt:lpstr>
      <vt:lpstr>04_Воронка</vt:lpstr>
      <vt:lpstr>05_Платформа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2026-10-04T19:30:04Z</dcterms:modified>
</cp:coreProperties>
</file>